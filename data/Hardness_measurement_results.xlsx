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Desktop\RMS radni folder\RMS\"/>
    </mc:Choice>
  </mc:AlternateContent>
  <xr:revisionPtr revIDLastSave="0" documentId="13_ncr:1_{9C856C43-134B-4A75-AD21-2C3D13647640}" xr6:coauthVersionLast="47" xr6:coauthVersionMax="47" xr10:uidLastSave="{00000000-0000-0000-0000-000000000000}"/>
  <bookViews>
    <workbookView xWindow="-120" yWindow="-120" windowWidth="24240" windowHeight="13140" activeTab="3" xr2:uid="{03FD4AF6-BE95-4C17-826D-CE61E64FABA6}"/>
  </bookViews>
  <sheets>
    <sheet name="Vickers" sheetId="1" r:id="rId1"/>
    <sheet name="Mirco-Vickers" sheetId="2" r:id="rId2"/>
    <sheet name="Brinell" sheetId="3" r:id="rId3"/>
    <sheet name="Kno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6" i="3" l="1"/>
  <c r="U36" i="3" s="1"/>
  <c r="V33" i="3"/>
  <c r="U33" i="3"/>
  <c r="V30" i="3"/>
  <c r="U30" i="3" s="1"/>
  <c r="V27" i="3"/>
  <c r="U27" i="3" s="1"/>
  <c r="V24" i="3"/>
  <c r="U24" i="3" s="1"/>
  <c r="V21" i="3"/>
  <c r="U21" i="3" s="1"/>
  <c r="V18" i="3"/>
  <c r="U18" i="3"/>
  <c r="V15" i="3"/>
  <c r="U15" i="3" s="1"/>
  <c r="V12" i="3"/>
  <c r="U12" i="3" s="1"/>
  <c r="V9" i="3"/>
  <c r="U9" i="3" s="1"/>
  <c r="V6" i="3"/>
  <c r="U6" i="3" s="1"/>
  <c r="V3" i="3"/>
  <c r="U3" i="3" s="1"/>
  <c r="N6" i="3"/>
  <c r="M6" i="3" s="1"/>
  <c r="N9" i="3"/>
  <c r="M9" i="3" s="1"/>
  <c r="N12" i="3"/>
  <c r="M12" i="3" s="1"/>
  <c r="N15" i="3"/>
  <c r="M15" i="3" s="1"/>
  <c r="N18" i="3"/>
  <c r="M18" i="3" s="1"/>
  <c r="N21" i="3"/>
  <c r="M21" i="3" s="1"/>
  <c r="N24" i="3"/>
  <c r="M24" i="3" s="1"/>
  <c r="N27" i="3"/>
  <c r="M27" i="3" s="1"/>
  <c r="N30" i="3"/>
  <c r="M30" i="3" s="1"/>
  <c r="N33" i="3"/>
  <c r="M33" i="3" s="1"/>
  <c r="N36" i="3"/>
  <c r="M36" i="3" s="1"/>
  <c r="N3" i="3"/>
  <c r="M3" i="3" s="1"/>
  <c r="U54" i="2"/>
  <c r="T54" i="2" s="1"/>
  <c r="U51" i="2"/>
  <c r="T51" i="2" s="1"/>
  <c r="U48" i="2"/>
  <c r="T48" i="2"/>
  <c r="U45" i="2"/>
  <c r="T45" i="2" s="1"/>
  <c r="U42" i="2"/>
  <c r="T42" i="2" s="1"/>
  <c r="U39" i="2"/>
  <c r="T39" i="2" s="1"/>
  <c r="U36" i="2"/>
  <c r="T36" i="2" s="1"/>
  <c r="U33" i="2"/>
  <c r="T33" i="2"/>
  <c r="U30" i="2"/>
  <c r="T30" i="2" s="1"/>
  <c r="U27" i="2"/>
  <c r="T27" i="2" s="1"/>
  <c r="U24" i="2"/>
  <c r="T24" i="2" s="1"/>
  <c r="U21" i="2"/>
  <c r="T21" i="2" s="1"/>
  <c r="U18" i="2"/>
  <c r="T18" i="2" s="1"/>
  <c r="U15" i="2"/>
  <c r="T15" i="2" s="1"/>
  <c r="U12" i="2"/>
  <c r="T12" i="2" s="1"/>
  <c r="U9" i="2"/>
  <c r="T9" i="2" s="1"/>
  <c r="U6" i="2"/>
  <c r="T6" i="2" s="1"/>
  <c r="U3" i="2"/>
  <c r="T3" i="2" s="1"/>
  <c r="M6" i="2"/>
  <c r="L6" i="2" s="1"/>
  <c r="M9" i="2"/>
  <c r="L9" i="2" s="1"/>
  <c r="M12" i="2"/>
  <c r="L12" i="2" s="1"/>
  <c r="M15" i="2"/>
  <c r="L15" i="2" s="1"/>
  <c r="M18" i="2"/>
  <c r="L18" i="2" s="1"/>
  <c r="M21" i="2"/>
  <c r="L21" i="2" s="1"/>
  <c r="M24" i="2"/>
  <c r="L24" i="2" s="1"/>
  <c r="M27" i="2"/>
  <c r="L27" i="2" s="1"/>
  <c r="M30" i="2"/>
  <c r="L30" i="2" s="1"/>
  <c r="M33" i="2"/>
  <c r="L33" i="2" s="1"/>
  <c r="M36" i="2"/>
  <c r="L36" i="2" s="1"/>
  <c r="M39" i="2"/>
  <c r="L39" i="2" s="1"/>
  <c r="M42" i="2"/>
  <c r="L42" i="2" s="1"/>
  <c r="M45" i="2"/>
  <c r="L45" i="2" s="1"/>
  <c r="M48" i="2"/>
  <c r="L48" i="2" s="1"/>
  <c r="M51" i="2"/>
  <c r="L51" i="2" s="1"/>
  <c r="M54" i="2"/>
  <c r="L54" i="2" s="1"/>
  <c r="L3" i="2"/>
  <c r="M3" i="2"/>
  <c r="U60" i="1"/>
  <c r="T60" i="1"/>
  <c r="U57" i="1"/>
  <c r="T57" i="1"/>
  <c r="U54" i="1"/>
  <c r="T54" i="1" s="1"/>
  <c r="U51" i="1"/>
  <c r="T51" i="1" s="1"/>
  <c r="U48" i="1"/>
  <c r="T48" i="1" s="1"/>
  <c r="U45" i="1"/>
  <c r="T45" i="1"/>
  <c r="U42" i="1"/>
  <c r="T42" i="1" s="1"/>
  <c r="U39" i="1"/>
  <c r="T39" i="1" s="1"/>
  <c r="U36" i="1"/>
  <c r="T36" i="1" s="1"/>
  <c r="U33" i="1"/>
  <c r="T33" i="1" s="1"/>
  <c r="U30" i="1"/>
  <c r="T30" i="1" s="1"/>
  <c r="U27" i="1"/>
  <c r="T27" i="1"/>
  <c r="U24" i="1"/>
  <c r="T24" i="1" s="1"/>
  <c r="U21" i="1"/>
  <c r="T21" i="1" s="1"/>
  <c r="U18" i="1"/>
  <c r="T18" i="1" s="1"/>
  <c r="U15" i="1"/>
  <c r="T15" i="1" s="1"/>
  <c r="U12" i="1"/>
  <c r="T12" i="1" s="1"/>
  <c r="U9" i="1"/>
  <c r="T9" i="1" s="1"/>
  <c r="U6" i="1"/>
  <c r="T6" i="1" s="1"/>
  <c r="U3" i="1"/>
  <c r="T3" i="1" s="1"/>
  <c r="L18" i="1"/>
  <c r="L21" i="1"/>
  <c r="L24" i="1"/>
  <c r="L27" i="1"/>
  <c r="L30" i="1"/>
  <c r="L33" i="1"/>
  <c r="L36" i="1"/>
  <c r="L39" i="1"/>
  <c r="L42" i="1"/>
  <c r="L45" i="1"/>
  <c r="L48" i="1"/>
  <c r="L51" i="1"/>
  <c r="L54" i="1"/>
  <c r="L57" i="1"/>
  <c r="L60" i="1"/>
  <c r="M6" i="1"/>
  <c r="M9" i="1"/>
  <c r="M12" i="1"/>
  <c r="M15" i="1"/>
  <c r="M18" i="1"/>
  <c r="M21" i="1"/>
  <c r="M24" i="1"/>
  <c r="M27" i="1"/>
  <c r="M30" i="1"/>
  <c r="M33" i="1"/>
  <c r="M36" i="1"/>
  <c r="M39" i="1"/>
  <c r="M42" i="1"/>
  <c r="M45" i="1"/>
  <c r="M48" i="1"/>
  <c r="M51" i="1"/>
  <c r="M54" i="1"/>
  <c r="M57" i="1"/>
  <c r="M60" i="1"/>
  <c r="L6" i="1"/>
  <c r="L9" i="1"/>
  <c r="L12" i="1"/>
  <c r="L15" i="1"/>
  <c r="L3" i="1"/>
  <c r="M3" i="1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L12" i="3"/>
  <c r="T36" i="3"/>
  <c r="R36" i="3"/>
  <c r="L36" i="3"/>
  <c r="J36" i="3"/>
  <c r="T33" i="3"/>
  <c r="R33" i="3"/>
  <c r="L33" i="3"/>
  <c r="J33" i="3"/>
  <c r="T30" i="3"/>
  <c r="R30" i="3"/>
  <c r="L30" i="3"/>
  <c r="J30" i="3"/>
  <c r="T27" i="3"/>
  <c r="R27" i="3"/>
  <c r="L27" i="3"/>
  <c r="J27" i="3"/>
  <c r="T24" i="3"/>
  <c r="R24" i="3"/>
  <c r="L24" i="3"/>
  <c r="J24" i="3"/>
  <c r="T21" i="3"/>
  <c r="R21" i="3"/>
  <c r="L21" i="3"/>
  <c r="J21" i="3"/>
  <c r="T18" i="3"/>
  <c r="R18" i="3"/>
  <c r="L18" i="3"/>
  <c r="J18" i="3"/>
  <c r="T15" i="3"/>
  <c r="R15" i="3"/>
  <c r="L15" i="3"/>
  <c r="J15" i="3"/>
  <c r="T12" i="3"/>
  <c r="R12" i="3"/>
  <c r="J12" i="3"/>
  <c r="J6" i="3"/>
  <c r="L6" i="3"/>
  <c r="R6" i="3"/>
  <c r="T6" i="3"/>
  <c r="J9" i="3"/>
  <c r="L9" i="3"/>
  <c r="R9" i="3"/>
  <c r="T9" i="3"/>
  <c r="T3" i="3"/>
  <c r="R3" i="3"/>
  <c r="L3" i="3"/>
  <c r="J3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S15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S54" i="2"/>
  <c r="Q54" i="2"/>
  <c r="K54" i="2"/>
  <c r="I54" i="2"/>
  <c r="S51" i="2"/>
  <c r="Q51" i="2"/>
  <c r="K51" i="2"/>
  <c r="I51" i="2"/>
  <c r="S48" i="2"/>
  <c r="Q48" i="2"/>
  <c r="K48" i="2"/>
  <c r="I48" i="2"/>
  <c r="S45" i="2"/>
  <c r="Q45" i="2"/>
  <c r="K45" i="2"/>
  <c r="I45" i="2"/>
  <c r="S42" i="2"/>
  <c r="Q42" i="2"/>
  <c r="K42" i="2"/>
  <c r="I42" i="2"/>
  <c r="S39" i="2"/>
  <c r="Q39" i="2"/>
  <c r="K39" i="2"/>
  <c r="I39" i="2"/>
  <c r="S36" i="2"/>
  <c r="Q36" i="2"/>
  <c r="K36" i="2"/>
  <c r="I36" i="2"/>
  <c r="S33" i="2"/>
  <c r="Q33" i="2"/>
  <c r="K33" i="2"/>
  <c r="I33" i="2"/>
  <c r="S30" i="2"/>
  <c r="Q30" i="2"/>
  <c r="K30" i="2"/>
  <c r="I30" i="2"/>
  <c r="S27" i="2"/>
  <c r="Q27" i="2"/>
  <c r="K27" i="2"/>
  <c r="I27" i="2"/>
  <c r="S24" i="2"/>
  <c r="Q24" i="2"/>
  <c r="K24" i="2"/>
  <c r="I24" i="2"/>
  <c r="S21" i="2"/>
  <c r="Q21" i="2"/>
  <c r="K21" i="2"/>
  <c r="I21" i="2"/>
  <c r="S18" i="2"/>
  <c r="Q18" i="2"/>
  <c r="K18" i="2"/>
  <c r="I18" i="2"/>
  <c r="Q15" i="2"/>
  <c r="K15" i="2"/>
  <c r="I15" i="2"/>
  <c r="S12" i="2"/>
  <c r="Q12" i="2"/>
  <c r="K12" i="2"/>
  <c r="I12" i="2"/>
  <c r="S9" i="2"/>
  <c r="Q9" i="2"/>
  <c r="K9" i="2"/>
  <c r="I9" i="2"/>
  <c r="S6" i="2"/>
  <c r="Q6" i="2"/>
  <c r="K6" i="2"/>
  <c r="I6" i="2"/>
  <c r="S3" i="2"/>
  <c r="Q3" i="2"/>
  <c r="K3" i="2"/>
  <c r="I3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S60" i="1"/>
  <c r="Q60" i="1"/>
  <c r="S57" i="1"/>
  <c r="Q57" i="1"/>
  <c r="S54" i="1"/>
  <c r="Q54" i="1"/>
  <c r="S51" i="1"/>
  <c r="Q51" i="1"/>
  <c r="S48" i="1"/>
  <c r="Q48" i="1"/>
  <c r="S45" i="1"/>
  <c r="Q45" i="1"/>
  <c r="S42" i="1"/>
  <c r="Q42" i="1"/>
  <c r="S39" i="1"/>
  <c r="Q39" i="1"/>
  <c r="S36" i="1"/>
  <c r="Q36" i="1"/>
  <c r="S33" i="1"/>
  <c r="Q33" i="1"/>
  <c r="S30" i="1"/>
  <c r="S27" i="1"/>
  <c r="S24" i="1"/>
  <c r="S21" i="1"/>
  <c r="S18" i="1"/>
  <c r="S15" i="1"/>
  <c r="S12" i="1"/>
  <c r="S9" i="1"/>
  <c r="S6" i="1"/>
  <c r="S3" i="1"/>
  <c r="Q30" i="1"/>
  <c r="Q27" i="1"/>
  <c r="Q24" i="1"/>
  <c r="Q21" i="1"/>
  <c r="Q18" i="1"/>
  <c r="Q15" i="1"/>
  <c r="Q12" i="1"/>
  <c r="Q9" i="1"/>
  <c r="Q6" i="1"/>
  <c r="Q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K3" i="1"/>
  <c r="K6" i="1"/>
  <c r="K9" i="1"/>
  <c r="K12" i="1"/>
  <c r="K15" i="1"/>
  <c r="K18" i="1"/>
  <c r="K21" i="1"/>
  <c r="K24" i="1"/>
  <c r="K27" i="1"/>
  <c r="K30" i="1"/>
  <c r="K33" i="1"/>
  <c r="K36" i="1"/>
  <c r="K39" i="1"/>
  <c r="K42" i="1"/>
  <c r="K45" i="1"/>
  <c r="K48" i="1"/>
  <c r="K51" i="1"/>
  <c r="K54" i="1"/>
  <c r="K57" i="1"/>
  <c r="K60" i="1"/>
  <c r="I60" i="1"/>
  <c r="I57" i="1"/>
  <c r="I54" i="1"/>
  <c r="I51" i="1"/>
  <c r="I48" i="1"/>
  <c r="I45" i="1"/>
  <c r="I42" i="1"/>
  <c r="I39" i="1"/>
  <c r="I36" i="1"/>
  <c r="I33" i="1"/>
  <c r="I21" i="1"/>
  <c r="I24" i="1"/>
  <c r="I27" i="1"/>
  <c r="I30" i="1"/>
  <c r="I18" i="1"/>
  <c r="I6" i="1"/>
  <c r="I9" i="1"/>
  <c r="I12" i="1"/>
  <c r="I15" i="1"/>
  <c r="I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<sst xmlns="http://schemas.openxmlformats.org/spreadsheetml/2006/main" count="677" uniqueCount="95">
  <si>
    <t>Serial Number</t>
  </si>
  <si>
    <t>Hardness (on  block)</t>
  </si>
  <si>
    <t>Position</t>
  </si>
  <si>
    <t>Applied force [N]</t>
  </si>
  <si>
    <t>Magnification</t>
  </si>
  <si>
    <t>Manual</t>
  </si>
  <si>
    <r>
      <t>d1 [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m]</t>
    </r>
  </si>
  <si>
    <t>d2 [μm]</t>
  </si>
  <si>
    <t>Average [μm]</t>
  </si>
  <si>
    <t>Hardness</t>
  </si>
  <si>
    <t>293-250</t>
  </si>
  <si>
    <t>20X</t>
  </si>
  <si>
    <t>294-367</t>
  </si>
  <si>
    <t>294-481</t>
  </si>
  <si>
    <t>216-610</t>
  </si>
  <si>
    <t>50X</t>
  </si>
  <si>
    <t>221-101</t>
  </si>
  <si>
    <t>Average hardness</t>
  </si>
  <si>
    <t>Expanded standard uncertainty</t>
  </si>
  <si>
    <t>Relative expanded standard uncertainty</t>
  </si>
  <si>
    <t>Automatic</t>
  </si>
  <si>
    <t>710-404</t>
  </si>
  <si>
    <t>711-081</t>
  </si>
  <si>
    <t>710-655</t>
  </si>
  <si>
    <t>706-437</t>
  </si>
  <si>
    <t>711-246</t>
  </si>
  <si>
    <t>710-106</t>
  </si>
  <si>
    <t>709-293</t>
  </si>
  <si>
    <t>20x</t>
  </si>
  <si>
    <t>290-736</t>
  </si>
  <si>
    <t>812-006</t>
  </si>
  <si>
    <t>810-202</t>
  </si>
  <si>
    <t>8301-50DW</t>
  </si>
  <si>
    <t>10x</t>
  </si>
  <si>
    <t>Ball diameter [mm]</t>
  </si>
  <si>
    <t>Δ  [μm]</t>
  </si>
  <si>
    <t>Δ  [%]</t>
  </si>
  <si>
    <r>
      <t>d [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m]</t>
    </r>
  </si>
  <si>
    <t>50x</t>
  </si>
  <si>
    <t>Picture ID</t>
  </si>
  <si>
    <t>HV 3</t>
  </si>
  <si>
    <t>HV 20</t>
  </si>
  <si>
    <t>HV 50</t>
  </si>
  <si>
    <t>HV 100</t>
  </si>
  <si>
    <t>HV 0,5</t>
  </si>
  <si>
    <t>HV 1</t>
  </si>
  <si>
    <t>HV 2</t>
  </si>
  <si>
    <t>HBW 1/5</t>
  </si>
  <si>
    <t>HBW 1/30</t>
  </si>
  <si>
    <t>HBW 10/500</t>
  </si>
  <si>
    <t>HBW 10/3000</t>
  </si>
  <si>
    <t>HK 0.05</t>
  </si>
  <si>
    <t>HK 1</t>
  </si>
  <si>
    <t>HK 2</t>
  </si>
  <si>
    <t>Taken as the CMC of the machine</t>
  </si>
  <si>
    <t>HV3 - HV100</t>
  </si>
  <si>
    <t>1+43/d</t>
  </si>
  <si>
    <t>Hardness scale</t>
  </si>
  <si>
    <t>HV0,05 - HV2</t>
  </si>
  <si>
    <t>1+20/d</t>
  </si>
  <si>
    <t>HBW 1/5 - HBW 1/30</t>
  </si>
  <si>
    <t>1+240/d</t>
  </si>
  <si>
    <t>HBW 10/500 - HBW 10/3000</t>
  </si>
  <si>
    <t>1+1200/d</t>
  </si>
  <si>
    <t>100_HBW_1_5_1_20X</t>
  </si>
  <si>
    <t>216-610_701_HV_3_1_50X</t>
  </si>
  <si>
    <t>216-610_701_HV_20_1_20X</t>
  </si>
  <si>
    <t>221-101_898_HV_3_1_50X</t>
  </si>
  <si>
    <t>221-101_898_HV_20_1_20X</t>
  </si>
  <si>
    <t>293-250_160_HV_3_1_20X</t>
  </si>
  <si>
    <t>294_481_503_HV_3_1_20X</t>
  </si>
  <si>
    <t>294_481_503_HV_20_1_20X</t>
  </si>
  <si>
    <t>294-367_300_HV_3_1_20X</t>
  </si>
  <si>
    <t>300_HBW_1_5_1_20X</t>
  </si>
  <si>
    <t>600_HBW_1_5_1_20X</t>
  </si>
  <si>
    <t>706-437_307_HMV_0.5_1_50X</t>
  </si>
  <si>
    <t>706-437_307_HMV_1_1_50X</t>
  </si>
  <si>
    <t>706-437_307_HMV_1_2_50X</t>
  </si>
  <si>
    <t>706-437_307_HMV_2_1_50X</t>
  </si>
  <si>
    <t>709-293_904_HMV_0.5_1_50X</t>
  </si>
  <si>
    <t>709-293_904_HMV_1_1_50X</t>
  </si>
  <si>
    <t>709-293_904_HMV_2_1_50X</t>
  </si>
  <si>
    <t>710-106_708_HMV_0.5_1_50X</t>
  </si>
  <si>
    <t>710-106_708_HMV_1_1_50X</t>
  </si>
  <si>
    <t>710-106_708_HMV_2_1_50X</t>
  </si>
  <si>
    <t>710-404_39.6_HMV_0.05_1_50X</t>
  </si>
  <si>
    <t>710-655_197_HMV_0.05_1_50X</t>
  </si>
  <si>
    <t>711-081_102_HMV_0.05_1_50X</t>
  </si>
  <si>
    <t>711-081_102_HMV_0.5_1_50X</t>
  </si>
  <si>
    <t>711-081_102_HMV_1_1_20X</t>
  </si>
  <si>
    <t>711-081_102_HMV_2_1_20X</t>
  </si>
  <si>
    <t>711-246_502_HMV_0.5_1_50X</t>
  </si>
  <si>
    <t>711-246_502_HMV_1_1_50X</t>
  </si>
  <si>
    <t>711-246_502_HMV_1_3_50X</t>
  </si>
  <si>
    <t>711-246_502_HMV_2_1_50X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</si>
</sst>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0" fillId="2" borderId="7" xfId="0" applyFill="1" applyBorder="1"/>
    <xf numFmtId="164" fontId="0" fillId="2" borderId="7" xfId="0" applyNumberFormat="1" applyFill="1" applyBorder="1"/>
    <xf numFmtId="0" fontId="0" fillId="2" borderId="8" xfId="0" applyFill="1" applyBorder="1"/>
    <xf numFmtId="0" fontId="0" fillId="2" borderId="0" xfId="0" applyFill="1"/>
    <xf numFmtId="164" fontId="0" fillId="2" borderId="0" xfId="0" applyNumberFormat="1" applyFill="1"/>
    <xf numFmtId="0" fontId="0" fillId="2" borderId="9" xfId="0" applyFill="1" applyBorder="1"/>
    <xf numFmtId="0" fontId="0" fillId="2" borderId="10" xfId="0" applyFill="1" applyBorder="1"/>
    <xf numFmtId="164" fontId="0" fillId="2" borderId="10" xfId="0" applyNumberFormat="1" applyFill="1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164" fontId="0" fillId="0" borderId="0" xfId="0" applyNumberFormat="1"/>
    <xf numFmtId="0" fontId="0" fillId="0" borderId="9" xfId="0" applyBorder="1"/>
    <xf numFmtId="0" fontId="0" fillId="0" borderId="10" xfId="0" applyBorder="1"/>
    <xf numFmtId="164" fontId="0" fillId="0" borderId="10" xfId="0" applyNumberFormat="1" applyBorder="1"/>
    <xf numFmtId="0" fontId="0" fillId="0" borderId="1" xfId="0" applyBorder="1" applyAlignment="1">
      <alignment vertical="center"/>
    </xf>
    <xf numFmtId="0" fontId="0" fillId="2" borderId="5" xfId="0" applyFill="1" applyBorder="1"/>
    <xf numFmtId="0" fontId="0" fillId="0" borderId="6" xfId="0" applyBorder="1"/>
    <xf numFmtId="0" fontId="0" fillId="2" borderId="11" xfId="0" applyFill="1" applyBorder="1"/>
    <xf numFmtId="0" fontId="0" fillId="0" borderId="12" xfId="0" applyBorder="1"/>
    <xf numFmtId="0" fontId="0" fillId="2" borderId="13" xfId="0" applyFill="1" applyBorder="1"/>
    <xf numFmtId="0" fontId="0" fillId="0" borderId="14" xfId="0" applyBorder="1"/>
    <xf numFmtId="0" fontId="0" fillId="2" borderId="6" xfId="0" applyFill="1" applyBorder="1"/>
    <xf numFmtId="0" fontId="0" fillId="2" borderId="12" xfId="0" applyFill="1" applyBorder="1"/>
    <xf numFmtId="0" fontId="0" fillId="2" borderId="14" xfId="0" applyFill="1" applyBorder="1"/>
    <xf numFmtId="164" fontId="0" fillId="2" borderId="13" xfId="0" applyNumberFormat="1" applyFill="1" applyBorder="1"/>
    <xf numFmtId="164" fontId="0" fillId="2" borderId="5" xfId="0" applyNumberFormat="1" applyFill="1" applyBorder="1"/>
    <xf numFmtId="0" fontId="0" fillId="0" borderId="5" xfId="0" applyBorder="1"/>
    <xf numFmtId="0" fontId="0" fillId="0" borderId="11" xfId="0" applyBorder="1"/>
    <xf numFmtId="0" fontId="0" fillId="0" borderId="13" xfId="0" applyBorder="1"/>
    <xf numFmtId="164" fontId="0" fillId="0" borderId="5" xfId="0" applyNumberFormat="1" applyBorder="1"/>
    <xf numFmtId="164" fontId="0" fillId="2" borderId="12" xfId="0" applyNumberFormat="1" applyFill="1" applyBorder="1"/>
    <xf numFmtId="164" fontId="0" fillId="2" borderId="6" xfId="0" applyNumberFormat="1" applyFill="1" applyBorder="1"/>
    <xf numFmtId="164" fontId="0" fillId="0" borderId="6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2" borderId="14" xfId="0" applyNumberFormat="1" applyFill="1" applyBorder="1"/>
    <xf numFmtId="164" fontId="0" fillId="0" borderId="11" xfId="0" applyNumberFormat="1" applyBorder="1"/>
    <xf numFmtId="164" fontId="0" fillId="2" borderId="11" xfId="0" applyNumberFormat="1" applyFill="1" applyBorder="1"/>
    <xf numFmtId="164" fontId="0" fillId="0" borderId="13" xfId="0" applyNumberFormat="1" applyBorder="1"/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4038-175C-44E3-BDEE-79F0375B2BD0}">
  <dimension ref="A1:V68"/>
  <sheetViews>
    <sheetView zoomScale="80" zoomScaleNormal="80" workbookViewId="0">
      <selection activeCell="L3" sqref="L3:L5"/>
    </sheetView>
  </sheetViews>
  <sheetFormatPr defaultRowHeight="15" x14ac:dyDescent="0.25"/>
  <cols>
    <col min="1" max="1" width="10" customWidth="1"/>
    <col min="2" max="2" width="11.140625" customWidth="1"/>
    <col min="3" max="3" width="11.28515625" customWidth="1"/>
    <col min="4" max="4" width="10.140625" customWidth="1"/>
    <col min="5" max="5" width="15.7109375" customWidth="1"/>
    <col min="6" max="7" width="9" bestFit="1" customWidth="1"/>
    <col min="8" max="9" width="13.85546875" bestFit="1" customWidth="1"/>
    <col min="10" max="10" width="10.5703125" bestFit="1" customWidth="1"/>
    <col min="11" max="11" width="14.5703125" customWidth="1"/>
    <col min="12" max="12" width="20.5703125" customWidth="1"/>
    <col min="13" max="13" width="23.5703125" customWidth="1"/>
    <col min="16" max="16" width="13.85546875" bestFit="1" customWidth="1"/>
    <col min="17" max="17" width="14.7109375" customWidth="1"/>
    <col min="18" max="18" width="10.5703125" bestFit="1" customWidth="1"/>
    <col min="19" max="19" width="14.85546875" customWidth="1"/>
    <col min="20" max="20" width="25.42578125" customWidth="1"/>
    <col min="21" max="21" width="22" customWidth="1"/>
    <col min="22" max="22" width="26.5703125" bestFit="1" customWidth="1"/>
  </cols>
  <sheetData>
    <row r="1" spans="1:22" ht="26.25" customHeight="1" x14ac:dyDescent="0.25">
      <c r="A1" s="51" t="s">
        <v>0</v>
      </c>
      <c r="B1" s="53" t="s">
        <v>57</v>
      </c>
      <c r="C1" s="51" t="s">
        <v>2</v>
      </c>
      <c r="D1" s="55" t="s">
        <v>3</v>
      </c>
      <c r="E1" s="51" t="s">
        <v>4</v>
      </c>
      <c r="F1" s="50" t="s">
        <v>5</v>
      </c>
      <c r="G1" s="50"/>
      <c r="H1" s="50"/>
      <c r="I1" s="50"/>
      <c r="J1" s="50"/>
      <c r="K1" s="50"/>
      <c r="L1" s="50"/>
      <c r="M1" s="50"/>
      <c r="N1" s="50" t="s">
        <v>20</v>
      </c>
      <c r="O1" s="50"/>
      <c r="P1" s="50"/>
      <c r="Q1" s="50"/>
      <c r="R1" s="50"/>
      <c r="S1" s="50"/>
      <c r="T1" s="50"/>
      <c r="U1" s="50"/>
      <c r="V1" s="51" t="s">
        <v>39</v>
      </c>
    </row>
    <row r="2" spans="1:22" ht="30" x14ac:dyDescent="0.25">
      <c r="A2" s="52"/>
      <c r="B2" s="54"/>
      <c r="C2" s="52"/>
      <c r="D2" s="56"/>
      <c r="E2" s="52"/>
      <c r="F2" s="2" t="s">
        <v>6</v>
      </c>
      <c r="G2" s="2" t="s">
        <v>7</v>
      </c>
      <c r="H2" s="20" t="s">
        <v>8</v>
      </c>
      <c r="I2" s="20" t="s">
        <v>8</v>
      </c>
      <c r="J2" s="2" t="s">
        <v>9</v>
      </c>
      <c r="K2" s="1" t="s">
        <v>17</v>
      </c>
      <c r="L2" s="1" t="s">
        <v>18</v>
      </c>
      <c r="M2" s="1" t="s">
        <v>19</v>
      </c>
      <c r="N2" s="2" t="s">
        <v>6</v>
      </c>
      <c r="O2" s="2" t="s">
        <v>7</v>
      </c>
      <c r="P2" s="20" t="s">
        <v>8</v>
      </c>
      <c r="Q2" s="20" t="s">
        <v>8</v>
      </c>
      <c r="R2" s="2" t="s">
        <v>9</v>
      </c>
      <c r="S2" s="1" t="s">
        <v>17</v>
      </c>
      <c r="T2" s="1" t="s">
        <v>18</v>
      </c>
      <c r="U2" s="1" t="s">
        <v>19</v>
      </c>
      <c r="V2" s="52"/>
    </row>
    <row r="3" spans="1:22" x14ac:dyDescent="0.25">
      <c r="A3" s="4" t="s">
        <v>10</v>
      </c>
      <c r="B3" s="5" t="s">
        <v>40</v>
      </c>
      <c r="C3" s="4">
        <v>1</v>
      </c>
      <c r="D3" s="5">
        <v>29.43</v>
      </c>
      <c r="E3" s="4" t="s">
        <v>11</v>
      </c>
      <c r="F3" s="21">
        <v>183.94300000000001</v>
      </c>
      <c r="G3" s="5">
        <v>183.904</v>
      </c>
      <c r="H3" s="6">
        <f>(F3+G3)/2</f>
        <v>183.92349999999999</v>
      </c>
      <c r="I3" s="47">
        <f>AVERAGE(H3:H5)</f>
        <v>184.55616666666666</v>
      </c>
      <c r="J3" s="5">
        <v>164.42099999999999</v>
      </c>
      <c r="K3" s="47">
        <f>AVERAGE(J3:J5)</f>
        <v>163.59233333333333</v>
      </c>
      <c r="L3" s="46">
        <f>+M3*K3/100</f>
        <v>2.5363438803910792</v>
      </c>
      <c r="M3" s="46">
        <f>2*SQRT(((1+43/I3)/2)^2+(1.32*STDEV(H3:H5)/SQRT(3))^2)</f>
        <v>1.5504051007225763</v>
      </c>
      <c r="N3" s="21">
        <v>184.291</v>
      </c>
      <c r="O3" s="5">
        <v>184.428</v>
      </c>
      <c r="P3" s="6">
        <f>(N3+O3)/2</f>
        <v>184.3595</v>
      </c>
      <c r="Q3" s="47">
        <f>AVERAGE(P3:P5)</f>
        <v>184.59950000000001</v>
      </c>
      <c r="R3" s="27">
        <v>163.709</v>
      </c>
      <c r="S3" s="47">
        <f>AVERAGE(R3:R5)</f>
        <v>163.24066666666667</v>
      </c>
      <c r="T3" s="46">
        <f>+U3*S3/100</f>
        <v>2.0781157814533642</v>
      </c>
      <c r="U3" s="46">
        <f>2*SQRT(((1+43/Q3)/2)^2+(1.32*STDEV(P3:P5)/SQRT(3))^2)</f>
        <v>1.2730380387975408</v>
      </c>
      <c r="V3" s="4" t="s">
        <v>69</v>
      </c>
    </row>
    <row r="4" spans="1:22" x14ac:dyDescent="0.25">
      <c r="A4" s="7" t="s">
        <v>10</v>
      </c>
      <c r="B4" s="8" t="s">
        <v>40</v>
      </c>
      <c r="C4" s="7">
        <v>2</v>
      </c>
      <c r="D4" s="8">
        <v>29.43</v>
      </c>
      <c r="E4" s="7" t="s">
        <v>11</v>
      </c>
      <c r="F4" s="23">
        <v>184.64400000000001</v>
      </c>
      <c r="G4" s="8">
        <v>185.667</v>
      </c>
      <c r="H4" s="9">
        <f t="shared" ref="H4:H62" si="0">(F4+G4)/2</f>
        <v>185.15550000000002</v>
      </c>
      <c r="I4" s="47"/>
      <c r="J4" s="9">
        <v>163.12</v>
      </c>
      <c r="K4" s="47"/>
      <c r="L4" s="46"/>
      <c r="M4" s="46"/>
      <c r="N4" s="23">
        <v>184.721</v>
      </c>
      <c r="O4" s="8">
        <v>184.703</v>
      </c>
      <c r="P4" s="9">
        <f t="shared" ref="P4:P62" si="1">(N4+O4)/2</f>
        <v>184.71199999999999</v>
      </c>
      <c r="Q4" s="47"/>
      <c r="R4" s="36">
        <v>163.02000000000001</v>
      </c>
      <c r="S4" s="47"/>
      <c r="T4" s="46"/>
      <c r="U4" s="46"/>
      <c r="V4" s="7"/>
    </row>
    <row r="5" spans="1:22" x14ac:dyDescent="0.25">
      <c r="A5" s="10" t="s">
        <v>10</v>
      </c>
      <c r="B5" s="11" t="s">
        <v>40</v>
      </c>
      <c r="C5" s="10">
        <v>3</v>
      </c>
      <c r="D5" s="11">
        <v>29.43</v>
      </c>
      <c r="E5" s="10" t="s">
        <v>11</v>
      </c>
      <c r="F5" s="25">
        <v>184.11500000000001</v>
      </c>
      <c r="G5" s="11">
        <v>185.06399999999999</v>
      </c>
      <c r="H5" s="12">
        <f t="shared" si="0"/>
        <v>184.58949999999999</v>
      </c>
      <c r="I5" s="47"/>
      <c r="J5" s="11">
        <v>163.23599999999999</v>
      </c>
      <c r="K5" s="47"/>
      <c r="L5" s="46"/>
      <c r="M5" s="46"/>
      <c r="N5" s="25">
        <v>184.334</v>
      </c>
      <c r="O5" s="12">
        <v>185.12</v>
      </c>
      <c r="P5" s="9">
        <f t="shared" si="1"/>
        <v>184.727</v>
      </c>
      <c r="Q5" s="47"/>
      <c r="R5" s="29">
        <v>162.99299999999999</v>
      </c>
      <c r="S5" s="47"/>
      <c r="T5" s="46"/>
      <c r="U5" s="46"/>
      <c r="V5" s="10"/>
    </row>
    <row r="6" spans="1:22" x14ac:dyDescent="0.25">
      <c r="A6" s="4" t="s">
        <v>12</v>
      </c>
      <c r="B6" s="5" t="s">
        <v>40</v>
      </c>
      <c r="C6" s="4">
        <v>1</v>
      </c>
      <c r="D6" s="5">
        <v>29.43</v>
      </c>
      <c r="E6" s="4" t="s">
        <v>11</v>
      </c>
      <c r="F6" s="8">
        <v>135.50399999999999</v>
      </c>
      <c r="G6" s="8">
        <v>135.21100000000001</v>
      </c>
      <c r="H6" s="9">
        <f t="shared" si="0"/>
        <v>135.35750000000002</v>
      </c>
      <c r="I6" s="47">
        <f t="shared" ref="I6" si="2">AVERAGE(H6:H8)</f>
        <v>135.06199999999998</v>
      </c>
      <c r="J6" s="8">
        <v>303.553</v>
      </c>
      <c r="K6" s="47">
        <f t="shared" ref="K6" si="3">AVERAGE(J6:J8)</f>
        <v>304.90033333333332</v>
      </c>
      <c r="L6" s="46">
        <f t="shared" ref="L6" si="4">+M6*K6/100</f>
        <v>4.2318664565857933</v>
      </c>
      <c r="M6" s="46">
        <f t="shared" ref="M6" si="5">2*SQRT(((1+43/I6)/2)^2+(1.32*STDEV(H6:H8)/SQRT(3))^2)</f>
        <v>1.38795074781348</v>
      </c>
      <c r="N6" s="21">
        <v>135.69800000000001</v>
      </c>
      <c r="O6" s="5">
        <v>135.197</v>
      </c>
      <c r="P6" s="6">
        <f t="shared" si="1"/>
        <v>135.44749999999999</v>
      </c>
      <c r="Q6" s="47">
        <f t="shared" ref="Q6" si="6">AVERAGE(P6:P8)</f>
        <v>135.09083333333334</v>
      </c>
      <c r="R6" s="37">
        <v>303.17</v>
      </c>
      <c r="S6" s="47">
        <f t="shared" ref="S6" si="7">AVERAGE(R6:R8)</f>
        <v>304.49833333333339</v>
      </c>
      <c r="T6" s="46">
        <f t="shared" ref="T6" si="8">+U6*S6/100</f>
        <v>4.3008845813489494</v>
      </c>
      <c r="U6" s="46">
        <f t="shared" ref="U6" si="9">2*SQRT(((1+43/Q6)/2)^2+(1.32*STDEV(P6:P8)/SQRT(3))^2)</f>
        <v>1.4124493012054631</v>
      </c>
      <c r="V6" s="4" t="s">
        <v>72</v>
      </c>
    </row>
    <row r="7" spans="1:22" x14ac:dyDescent="0.25">
      <c r="A7" s="7" t="s">
        <v>12</v>
      </c>
      <c r="B7" s="8" t="s">
        <v>40</v>
      </c>
      <c r="C7" s="7">
        <v>2</v>
      </c>
      <c r="D7" s="8">
        <v>29.43</v>
      </c>
      <c r="E7" s="7" t="s">
        <v>11</v>
      </c>
      <c r="F7" s="8">
        <v>135.05799999999999</v>
      </c>
      <c r="G7" s="8">
        <v>134.52099999999999</v>
      </c>
      <c r="H7" s="9">
        <f t="shared" si="0"/>
        <v>134.78949999999998</v>
      </c>
      <c r="I7" s="47"/>
      <c r="J7" s="8">
        <v>306.13900000000001</v>
      </c>
      <c r="K7" s="47"/>
      <c r="L7" s="46"/>
      <c r="M7" s="46"/>
      <c r="N7" s="23">
        <v>135.251</v>
      </c>
      <c r="O7" s="8">
        <v>134.327</v>
      </c>
      <c r="P7" s="9">
        <f t="shared" si="1"/>
        <v>134.78899999999999</v>
      </c>
      <c r="Q7" s="47"/>
      <c r="R7" s="28">
        <v>306.14100000000002</v>
      </c>
      <c r="S7" s="47"/>
      <c r="T7" s="46"/>
      <c r="U7" s="46"/>
      <c r="V7" s="7"/>
    </row>
    <row r="8" spans="1:22" x14ac:dyDescent="0.25">
      <c r="A8" s="10" t="s">
        <v>12</v>
      </c>
      <c r="B8" s="11" t="s">
        <v>40</v>
      </c>
      <c r="C8" s="10">
        <v>3</v>
      </c>
      <c r="D8" s="11">
        <v>29.43</v>
      </c>
      <c r="E8" s="10" t="s">
        <v>11</v>
      </c>
      <c r="F8" s="11">
        <v>135.18199999999999</v>
      </c>
      <c r="G8" s="11">
        <v>134.89599999999999</v>
      </c>
      <c r="H8" s="12">
        <f t="shared" si="0"/>
        <v>135.03899999999999</v>
      </c>
      <c r="I8" s="47"/>
      <c r="J8" s="11">
        <v>305.00900000000001</v>
      </c>
      <c r="K8" s="47"/>
      <c r="L8" s="46"/>
      <c r="M8" s="46"/>
      <c r="N8" s="30">
        <v>134.85</v>
      </c>
      <c r="O8" s="11">
        <v>135.22200000000001</v>
      </c>
      <c r="P8" s="9">
        <f t="shared" si="1"/>
        <v>135.036</v>
      </c>
      <c r="Q8" s="47"/>
      <c r="R8" s="29">
        <v>304.18400000000003</v>
      </c>
      <c r="S8" s="47"/>
      <c r="T8" s="46"/>
      <c r="U8" s="46"/>
      <c r="V8" s="10"/>
    </row>
    <row r="9" spans="1:22" x14ac:dyDescent="0.25">
      <c r="A9" s="4" t="s">
        <v>13</v>
      </c>
      <c r="B9" s="5" t="s">
        <v>40</v>
      </c>
      <c r="C9" s="4">
        <v>1</v>
      </c>
      <c r="D9" s="5">
        <v>29.43</v>
      </c>
      <c r="E9" s="4" t="s">
        <v>11</v>
      </c>
      <c r="F9" s="5">
        <v>103.91500000000001</v>
      </c>
      <c r="G9" s="6">
        <v>103.59</v>
      </c>
      <c r="H9" s="6">
        <f t="shared" si="0"/>
        <v>103.7525</v>
      </c>
      <c r="I9" s="47">
        <f t="shared" ref="I9" si="10">AVERAGE(H9:H11)</f>
        <v>103.873</v>
      </c>
      <c r="J9" s="5">
        <v>516.69399999999996</v>
      </c>
      <c r="K9" s="47">
        <f t="shared" ref="K9" si="11">AVERAGE(J9:J11)</f>
        <v>515.49900000000002</v>
      </c>
      <c r="L9" s="46">
        <f t="shared" ref="L9" si="12">+M9*K9/100</f>
        <v>7.414384294119623</v>
      </c>
      <c r="M9" s="46">
        <f t="shared" ref="M9" si="13">2*SQRT(((1+43/I9)/2)^2+(1.32*STDEV(H9:H11)/SQRT(3))^2)</f>
        <v>1.4382926628605723</v>
      </c>
      <c r="N9" s="31">
        <v>103.96</v>
      </c>
      <c r="O9" s="5">
        <v>104.292</v>
      </c>
      <c r="P9" s="6">
        <f t="shared" si="1"/>
        <v>104.126</v>
      </c>
      <c r="Q9" s="47">
        <f t="shared" ref="Q9" si="14">AVERAGE(P9:P11)</f>
        <v>104.22816666666667</v>
      </c>
      <c r="R9" s="27">
        <v>512.99400000000003</v>
      </c>
      <c r="S9" s="47">
        <f t="shared" ref="S9" si="15">AVERAGE(R9:R11)</f>
        <v>511.99533333333329</v>
      </c>
      <c r="T9" s="46">
        <f t="shared" ref="T9" si="16">+U9*S9/100</f>
        <v>7.4379059785951949</v>
      </c>
      <c r="U9" s="46">
        <f t="shared" ref="U9" si="17">2*SQRT(((1+43/Q9)/2)^2+(1.32*STDEV(P9:P11)/SQRT(3))^2)</f>
        <v>1.4527292524662065</v>
      </c>
      <c r="V9" s="4" t="s">
        <v>70</v>
      </c>
    </row>
    <row r="10" spans="1:22" x14ac:dyDescent="0.25">
      <c r="A10" s="7" t="s">
        <v>13</v>
      </c>
      <c r="B10" s="8" t="s">
        <v>40</v>
      </c>
      <c r="C10" s="7">
        <v>2</v>
      </c>
      <c r="D10" s="8">
        <v>29.43</v>
      </c>
      <c r="E10" s="7" t="s">
        <v>11</v>
      </c>
      <c r="F10" s="8">
        <v>103.58499999999999</v>
      </c>
      <c r="G10" s="8">
        <v>104.006</v>
      </c>
      <c r="H10" s="9">
        <f t="shared" si="0"/>
        <v>103.7955</v>
      </c>
      <c r="I10" s="47"/>
      <c r="J10" s="8">
        <v>516.26599999999996</v>
      </c>
      <c r="K10" s="47"/>
      <c r="L10" s="46"/>
      <c r="M10" s="46"/>
      <c r="N10" s="23">
        <v>103.962</v>
      </c>
      <c r="O10" s="8">
        <v>104.188</v>
      </c>
      <c r="P10" s="9">
        <f t="shared" si="1"/>
        <v>104.075</v>
      </c>
      <c r="Q10" s="47"/>
      <c r="R10" s="28">
        <v>513.49699999999996</v>
      </c>
      <c r="S10" s="47"/>
      <c r="T10" s="46"/>
      <c r="U10" s="46"/>
      <c r="V10" s="7"/>
    </row>
    <row r="11" spans="1:22" x14ac:dyDescent="0.25">
      <c r="A11" s="10" t="s">
        <v>13</v>
      </c>
      <c r="B11" s="11" t="s">
        <v>40</v>
      </c>
      <c r="C11" s="10">
        <v>3</v>
      </c>
      <c r="D11" s="11">
        <v>29.43</v>
      </c>
      <c r="E11" s="10" t="s">
        <v>11</v>
      </c>
      <c r="F11" s="12">
        <v>103.88</v>
      </c>
      <c r="G11" s="11">
        <v>104.262</v>
      </c>
      <c r="H11" s="12">
        <f t="shared" si="0"/>
        <v>104.071</v>
      </c>
      <c r="I11" s="47"/>
      <c r="J11" s="11">
        <v>513.53700000000003</v>
      </c>
      <c r="K11" s="47"/>
      <c r="L11" s="46"/>
      <c r="M11" s="46"/>
      <c r="N11" s="25">
        <v>104.70399999999999</v>
      </c>
      <c r="O11" s="11">
        <v>104.26300000000001</v>
      </c>
      <c r="P11" s="9">
        <f t="shared" si="1"/>
        <v>104.48349999999999</v>
      </c>
      <c r="Q11" s="47"/>
      <c r="R11" s="29">
        <v>509.495</v>
      </c>
      <c r="S11" s="47"/>
      <c r="T11" s="46"/>
      <c r="U11" s="46"/>
      <c r="V11" s="10"/>
    </row>
    <row r="12" spans="1:22" x14ac:dyDescent="0.25">
      <c r="A12" s="4" t="s">
        <v>14</v>
      </c>
      <c r="B12" s="5" t="s">
        <v>40</v>
      </c>
      <c r="C12" s="4">
        <v>1</v>
      </c>
      <c r="D12" s="5">
        <v>29.43</v>
      </c>
      <c r="E12" s="4" t="s">
        <v>15</v>
      </c>
      <c r="F12" s="5">
        <v>86.998000000000005</v>
      </c>
      <c r="G12" s="5">
        <v>87.314999999999998</v>
      </c>
      <c r="H12" s="6">
        <f t="shared" si="0"/>
        <v>87.156499999999994</v>
      </c>
      <c r="I12" s="47">
        <f t="shared" ref="I12" si="18">AVERAGE(H12:H14)</f>
        <v>87.489333333333335</v>
      </c>
      <c r="J12" s="5">
        <v>732.20299999999997</v>
      </c>
      <c r="K12" s="47">
        <f t="shared" ref="K12" si="19">AVERAGE(J12:J14)</f>
        <v>726.66233333333332</v>
      </c>
      <c r="L12" s="46">
        <f t="shared" ref="L12" si="20">+M12*K12/100</f>
        <v>11.418795413398939</v>
      </c>
      <c r="M12" s="46">
        <f t="shared" ref="M12" si="21">2*SQRT(((1+43/I12)/2)^2+(1.32*STDEV(H12:H14)/SQRT(3))^2)</f>
        <v>1.5714032349824478</v>
      </c>
      <c r="N12" s="21">
        <v>86.495999999999995</v>
      </c>
      <c r="O12" s="5">
        <v>86.765000000000001</v>
      </c>
      <c r="P12" s="6">
        <f t="shared" si="1"/>
        <v>86.630499999999998</v>
      </c>
      <c r="Q12" s="47">
        <f t="shared" ref="Q12" si="22">AVERAGE(P12:P14)</f>
        <v>87.208333333333329</v>
      </c>
      <c r="R12" s="27">
        <v>740.87300000000005</v>
      </c>
      <c r="S12" s="47">
        <f t="shared" ref="S12" si="23">AVERAGE(R12:R14)</f>
        <v>731.37933333333331</v>
      </c>
      <c r="T12" s="46">
        <f t="shared" ref="T12" si="24">+U12*S12/100</f>
        <v>14.321884911648114</v>
      </c>
      <c r="U12" s="46">
        <f t="shared" ref="U12" si="25">2*SQRT(((1+43/Q12)/2)^2+(1.32*STDEV(P12:P14)/SQRT(3))^2)</f>
        <v>1.9582020244371294</v>
      </c>
      <c r="V12" s="4" t="s">
        <v>65</v>
      </c>
    </row>
    <row r="13" spans="1:22" x14ac:dyDescent="0.25">
      <c r="A13" s="7" t="s">
        <v>14</v>
      </c>
      <c r="B13" s="8" t="s">
        <v>40</v>
      </c>
      <c r="C13" s="7">
        <v>2</v>
      </c>
      <c r="D13" s="8">
        <v>29.43</v>
      </c>
      <c r="E13" s="7" t="s">
        <v>15</v>
      </c>
      <c r="F13" s="8">
        <v>87.834999999999994</v>
      </c>
      <c r="G13" s="8">
        <v>87.775000000000006</v>
      </c>
      <c r="H13" s="9">
        <f t="shared" si="0"/>
        <v>87.805000000000007</v>
      </c>
      <c r="I13" s="47"/>
      <c r="J13" s="8">
        <v>721.42700000000002</v>
      </c>
      <c r="K13" s="47"/>
      <c r="L13" s="46"/>
      <c r="M13" s="46"/>
      <c r="N13" s="23">
        <v>87.980999999999995</v>
      </c>
      <c r="O13" s="8">
        <v>88.340999999999994</v>
      </c>
      <c r="P13" s="9">
        <f t="shared" si="1"/>
        <v>88.161000000000001</v>
      </c>
      <c r="Q13" s="47"/>
      <c r="R13" s="28">
        <v>715.61300000000006</v>
      </c>
      <c r="S13" s="47"/>
      <c r="T13" s="46"/>
      <c r="U13" s="46"/>
      <c r="V13" s="7"/>
    </row>
    <row r="14" spans="1:22" x14ac:dyDescent="0.25">
      <c r="A14" s="10" t="s">
        <v>14</v>
      </c>
      <c r="B14" s="11" t="s">
        <v>40</v>
      </c>
      <c r="C14" s="10">
        <v>3</v>
      </c>
      <c r="D14" s="11">
        <v>29.43</v>
      </c>
      <c r="E14" s="10" t="s">
        <v>15</v>
      </c>
      <c r="F14" s="11">
        <v>87.337000000000003</v>
      </c>
      <c r="G14" s="11">
        <v>87.676000000000002</v>
      </c>
      <c r="H14" s="12">
        <f t="shared" si="0"/>
        <v>87.506500000000003</v>
      </c>
      <c r="I14" s="47"/>
      <c r="J14" s="11">
        <v>726.35699999999997</v>
      </c>
      <c r="K14" s="47"/>
      <c r="L14" s="46"/>
      <c r="M14" s="46"/>
      <c r="N14" s="25">
        <v>86.622</v>
      </c>
      <c r="O14" s="11">
        <v>87.045000000000002</v>
      </c>
      <c r="P14" s="9">
        <f t="shared" si="1"/>
        <v>86.833500000000001</v>
      </c>
      <c r="Q14" s="47"/>
      <c r="R14" s="29">
        <v>737.65200000000004</v>
      </c>
      <c r="S14" s="47"/>
      <c r="T14" s="46"/>
      <c r="U14" s="46"/>
      <c r="V14" s="10"/>
    </row>
    <row r="15" spans="1:22" x14ac:dyDescent="0.25">
      <c r="A15" s="4" t="s">
        <v>16</v>
      </c>
      <c r="B15" s="5" t="s">
        <v>40</v>
      </c>
      <c r="C15" s="4">
        <v>1</v>
      </c>
      <c r="D15" s="5">
        <v>29.43</v>
      </c>
      <c r="E15" s="4" t="s">
        <v>15</v>
      </c>
      <c r="F15" s="5">
        <v>78.239000000000004</v>
      </c>
      <c r="G15" s="5">
        <v>78.245000000000005</v>
      </c>
      <c r="H15" s="6">
        <f t="shared" si="0"/>
        <v>78.242000000000004</v>
      </c>
      <c r="I15" s="47">
        <f t="shared" ref="I15" si="26">AVERAGE(H15:H17)</f>
        <v>78.174333333333337</v>
      </c>
      <c r="J15" s="5">
        <v>908.55499999999995</v>
      </c>
      <c r="K15" s="47">
        <f t="shared" ref="K15" si="27">AVERAGE(J15:J17)</f>
        <v>910.12966666666671</v>
      </c>
      <c r="L15" s="46">
        <f t="shared" ref="L15" si="28">+M15*K15/100</f>
        <v>14.1415117142299</v>
      </c>
      <c r="M15" s="46">
        <f t="shared" ref="M15" si="29">2*SQRT(((1+43/I15)/2)^2+(1.32*STDEV(H15:H17)/SQRT(3))^2)</f>
        <v>1.5537908753181213</v>
      </c>
      <c r="N15" s="21">
        <v>78.165999999999997</v>
      </c>
      <c r="O15" s="5">
        <v>77.844999999999999</v>
      </c>
      <c r="P15" s="6">
        <f t="shared" si="1"/>
        <v>78.005499999999998</v>
      </c>
      <c r="Q15" s="47">
        <f t="shared" ref="Q15" si="30">AVERAGE(P15:P17)</f>
        <v>77.974499999999992</v>
      </c>
      <c r="R15" s="27">
        <v>914.08399999999995</v>
      </c>
      <c r="S15" s="47">
        <f t="shared" ref="S15" si="31">AVERAGE(R15:R17)</f>
        <v>914.85666666666657</v>
      </c>
      <c r="T15" s="46">
        <f t="shared" ref="T15" si="32">+U15*S15/100</f>
        <v>15.364352792604343</v>
      </c>
      <c r="U15" s="46">
        <f t="shared" ref="U15" si="33">2*SQRT(((1+43/Q15)/2)^2+(1.32*STDEV(P15:P17)/SQRT(3))^2)</f>
        <v>1.6794273193182552</v>
      </c>
      <c r="V15" s="4" t="s">
        <v>67</v>
      </c>
    </row>
    <row r="16" spans="1:22" x14ac:dyDescent="0.25">
      <c r="A16" s="7" t="s">
        <v>16</v>
      </c>
      <c r="B16" s="8" t="s">
        <v>40</v>
      </c>
      <c r="C16" s="7">
        <v>2</v>
      </c>
      <c r="D16" s="8">
        <v>29.43</v>
      </c>
      <c r="E16" s="7" t="s">
        <v>15</v>
      </c>
      <c r="F16" s="8">
        <v>78.122</v>
      </c>
      <c r="G16" s="8">
        <v>78.238</v>
      </c>
      <c r="H16" s="9">
        <f t="shared" si="0"/>
        <v>78.180000000000007</v>
      </c>
      <c r="I16" s="47"/>
      <c r="J16" s="8">
        <v>909.99599999999998</v>
      </c>
      <c r="K16" s="47"/>
      <c r="L16" s="46"/>
      <c r="M16" s="46"/>
      <c r="N16" s="23">
        <v>77.253</v>
      </c>
      <c r="O16" s="8">
        <v>77.822999999999993</v>
      </c>
      <c r="P16" s="9">
        <f t="shared" si="1"/>
        <v>77.537999999999997</v>
      </c>
      <c r="Q16" s="47"/>
      <c r="R16" s="28">
        <v>925.12800000000004</v>
      </c>
      <c r="S16" s="47"/>
      <c r="T16" s="46"/>
      <c r="U16" s="46"/>
      <c r="V16" s="7"/>
    </row>
    <row r="17" spans="1:22" x14ac:dyDescent="0.25">
      <c r="A17" s="10" t="s">
        <v>16</v>
      </c>
      <c r="B17" s="11" t="s">
        <v>40</v>
      </c>
      <c r="C17" s="10">
        <v>3</v>
      </c>
      <c r="D17" s="11">
        <v>29.43</v>
      </c>
      <c r="E17" s="10" t="s">
        <v>15</v>
      </c>
      <c r="F17" s="11">
        <v>78.091999999999999</v>
      </c>
      <c r="G17" s="12">
        <v>78.11</v>
      </c>
      <c r="H17" s="12">
        <f t="shared" si="0"/>
        <v>78.100999999999999</v>
      </c>
      <c r="I17" s="47"/>
      <c r="J17" s="11">
        <v>911.83799999999997</v>
      </c>
      <c r="K17" s="47"/>
      <c r="L17" s="46"/>
      <c r="M17" s="46"/>
      <c r="N17" s="25">
        <v>78.290999999999997</v>
      </c>
      <c r="O17" s="11">
        <v>78.468999999999994</v>
      </c>
      <c r="P17" s="9">
        <f t="shared" si="1"/>
        <v>78.38</v>
      </c>
      <c r="Q17" s="47"/>
      <c r="R17" s="29">
        <v>905.35799999999995</v>
      </c>
      <c r="S17" s="47"/>
      <c r="T17" s="46"/>
      <c r="U17" s="46"/>
      <c r="V17" s="10"/>
    </row>
    <row r="18" spans="1:22" x14ac:dyDescent="0.25">
      <c r="A18" s="3" t="s">
        <v>10</v>
      </c>
      <c r="B18" s="13" t="s">
        <v>41</v>
      </c>
      <c r="C18" s="3">
        <v>1</v>
      </c>
      <c r="D18" s="13">
        <v>196.2</v>
      </c>
      <c r="E18" s="3" t="s">
        <v>11</v>
      </c>
      <c r="F18" s="13">
        <v>478.702</v>
      </c>
      <c r="G18" s="13">
        <v>478.16699999999997</v>
      </c>
      <c r="H18" s="14">
        <f t="shared" si="0"/>
        <v>478.43449999999996</v>
      </c>
      <c r="I18" s="48">
        <f>AVERAGE(H18:H20)</f>
        <v>479.2791666666667</v>
      </c>
      <c r="J18" s="13">
        <v>161.99199999999999</v>
      </c>
      <c r="K18" s="49">
        <f t="shared" ref="K18:K60" si="34">AVERAGE(J18:J20)</f>
        <v>161.42666666666665</v>
      </c>
      <c r="L18" s="45">
        <f t="shared" ref="L18:L60" si="35">+M18*K18/100</f>
        <v>4.9142848545162501</v>
      </c>
      <c r="M18" s="45">
        <f t="shared" ref="M18" si="36">2*SQRT(((1+43/I18)/2)^2+(1.32*STDEV(H18:H20)/SQRT(3))^2)</f>
        <v>3.0442831757555031</v>
      </c>
      <c r="N18" s="32">
        <v>478.18400000000003</v>
      </c>
      <c r="O18" s="13">
        <v>477.25200000000001</v>
      </c>
      <c r="P18" s="14">
        <f t="shared" si="1"/>
        <v>477.71800000000002</v>
      </c>
      <c r="Q18" s="48">
        <f>AVERAGE(P18:P20)</f>
        <v>479.32733333333334</v>
      </c>
      <c r="R18" s="38">
        <v>162.47900000000001</v>
      </c>
      <c r="S18" s="49">
        <f t="shared" ref="S18:S30" si="37">AVERAGE(R18:R20)</f>
        <v>161.39733333333334</v>
      </c>
      <c r="T18" s="45">
        <f t="shared" ref="T18:T30" si="38">+U18*S18/100</f>
        <v>6.1847617526808971</v>
      </c>
      <c r="U18" s="45">
        <f t="shared" ref="U18" si="39">2*SQRT(((1+43/Q18)/2)^2+(1.32*STDEV(P18:P20)/SQRT(3))^2)</f>
        <v>3.8320098758431969</v>
      </c>
      <c r="V18" s="3"/>
    </row>
    <row r="19" spans="1:22" x14ac:dyDescent="0.25">
      <c r="A19" s="15" t="s">
        <v>10</v>
      </c>
      <c r="B19" t="s">
        <v>41</v>
      </c>
      <c r="C19" s="15">
        <v>2</v>
      </c>
      <c r="D19">
        <v>196.2</v>
      </c>
      <c r="E19" s="15" t="s">
        <v>11</v>
      </c>
      <c r="F19">
        <v>481.12799999999999</v>
      </c>
      <c r="G19">
        <v>481.70600000000002</v>
      </c>
      <c r="H19" s="16">
        <f t="shared" si="0"/>
        <v>481.41700000000003</v>
      </c>
      <c r="I19" s="48"/>
      <c r="J19">
        <v>159.99100000000001</v>
      </c>
      <c r="K19" s="49"/>
      <c r="L19" s="45"/>
      <c r="M19" s="45"/>
      <c r="N19" s="33">
        <v>481.71899999999999</v>
      </c>
      <c r="O19">
        <v>482.47800000000001</v>
      </c>
      <c r="P19" s="16">
        <f t="shared" si="1"/>
        <v>482.0985</v>
      </c>
      <c r="Q19" s="48"/>
      <c r="R19" s="39">
        <v>159.53899999999999</v>
      </c>
      <c r="S19" s="49"/>
      <c r="T19" s="45"/>
      <c r="U19" s="45"/>
      <c r="V19" s="15"/>
    </row>
    <row r="20" spans="1:22" x14ac:dyDescent="0.25">
      <c r="A20" s="17" t="s">
        <v>10</v>
      </c>
      <c r="B20" s="18" t="s">
        <v>41</v>
      </c>
      <c r="C20" s="17">
        <v>3</v>
      </c>
      <c r="D20" s="18">
        <v>196.2</v>
      </c>
      <c r="E20" s="17" t="s">
        <v>11</v>
      </c>
      <c r="F20" s="18">
        <v>478.29700000000003</v>
      </c>
      <c r="G20" s="18">
        <v>477.67500000000001</v>
      </c>
      <c r="H20" s="19">
        <f t="shared" si="0"/>
        <v>477.98599999999999</v>
      </c>
      <c r="I20" s="48"/>
      <c r="J20" s="18">
        <v>162.297</v>
      </c>
      <c r="K20" s="49"/>
      <c r="L20" s="45"/>
      <c r="M20" s="45"/>
      <c r="N20" s="34">
        <v>478.51499999999999</v>
      </c>
      <c r="O20" s="18">
        <v>477.81599999999997</v>
      </c>
      <c r="P20" s="19">
        <f t="shared" si="1"/>
        <v>478.16549999999995</v>
      </c>
      <c r="Q20" s="48"/>
      <c r="R20" s="40">
        <v>162.17400000000001</v>
      </c>
      <c r="S20" s="49"/>
      <c r="T20" s="45"/>
      <c r="U20" s="45"/>
      <c r="V20" s="17"/>
    </row>
    <row r="21" spans="1:22" x14ac:dyDescent="0.25">
      <c r="A21" s="3" t="s">
        <v>12</v>
      </c>
      <c r="B21" s="13" t="s">
        <v>41</v>
      </c>
      <c r="C21" s="3">
        <v>1</v>
      </c>
      <c r="D21" s="13">
        <v>196.2</v>
      </c>
      <c r="E21" s="3" t="s">
        <v>11</v>
      </c>
      <c r="F21" s="13">
        <v>349.16399999999999</v>
      </c>
      <c r="G21" s="13">
        <v>349.31299999999999</v>
      </c>
      <c r="H21" s="14">
        <f t="shared" si="0"/>
        <v>349.23849999999999</v>
      </c>
      <c r="I21" s="48">
        <f t="shared" ref="I21" si="40">AVERAGE(H21:H23)</f>
        <v>349.19599999999997</v>
      </c>
      <c r="J21" s="13">
        <v>304.01499999999999</v>
      </c>
      <c r="K21" s="49">
        <f t="shared" si="34"/>
        <v>304.08999999999997</v>
      </c>
      <c r="L21" s="45">
        <f t="shared" si="35"/>
        <v>3.7984062777652441</v>
      </c>
      <c r="M21" s="45">
        <f t="shared" ref="M21" si="41">2*SQRT(((1+43/I21)/2)^2+(1.32*STDEV(H21:H23)/SQRT(3))^2)</f>
        <v>1.2491059481618088</v>
      </c>
      <c r="N21" s="32">
        <v>349.57</v>
      </c>
      <c r="O21" s="13">
        <v>350.01499999999999</v>
      </c>
      <c r="P21" s="14">
        <f t="shared" si="1"/>
        <v>349.79250000000002</v>
      </c>
      <c r="Q21" s="48">
        <f t="shared" ref="Q21" si="42">AVERAGE(P21:P23)</f>
        <v>349.47516666666661</v>
      </c>
      <c r="R21" s="38">
        <v>303.05399999999997</v>
      </c>
      <c r="S21" s="49">
        <f t="shared" si="37"/>
        <v>303.60466666666667</v>
      </c>
      <c r="T21" s="45">
        <f t="shared" si="38"/>
        <v>3.8081534957544649</v>
      </c>
      <c r="U21" s="45">
        <f t="shared" ref="U21" si="43">2*SQRT(((1+43/Q21)/2)^2+(1.32*STDEV(P21:P23)/SQRT(3))^2)</f>
        <v>1.2543132283060421</v>
      </c>
      <c r="V21" s="3"/>
    </row>
    <row r="22" spans="1:22" x14ac:dyDescent="0.25">
      <c r="A22" s="15" t="s">
        <v>12</v>
      </c>
      <c r="B22" t="s">
        <v>41</v>
      </c>
      <c r="C22" s="15">
        <v>2</v>
      </c>
      <c r="D22">
        <v>196.2</v>
      </c>
      <c r="E22" s="15" t="s">
        <v>11</v>
      </c>
      <c r="F22">
        <v>349.60599999999999</v>
      </c>
      <c r="G22">
        <v>349.45699999999999</v>
      </c>
      <c r="H22" s="16">
        <f t="shared" si="0"/>
        <v>349.53149999999999</v>
      </c>
      <c r="I22" s="48"/>
      <c r="J22">
        <v>303.50599999999997</v>
      </c>
      <c r="K22" s="49"/>
      <c r="L22" s="45"/>
      <c r="M22" s="45"/>
      <c r="N22" s="33">
        <v>349.85199999999998</v>
      </c>
      <c r="O22">
        <v>349.26600000000002</v>
      </c>
      <c r="P22" s="16">
        <f t="shared" si="1"/>
        <v>349.55899999999997</v>
      </c>
      <c r="Q22" s="48"/>
      <c r="R22" s="39">
        <v>303.45800000000003</v>
      </c>
      <c r="S22" s="49"/>
      <c r="T22" s="45"/>
      <c r="U22" s="45"/>
      <c r="V22" s="15"/>
    </row>
    <row r="23" spans="1:22" x14ac:dyDescent="0.25">
      <c r="A23" s="17" t="s">
        <v>12</v>
      </c>
      <c r="B23" s="18" t="s">
        <v>41</v>
      </c>
      <c r="C23" s="17">
        <v>3</v>
      </c>
      <c r="D23" s="18">
        <v>196.2</v>
      </c>
      <c r="E23" s="17" t="s">
        <v>11</v>
      </c>
      <c r="F23" s="18">
        <v>348.76400000000001</v>
      </c>
      <c r="G23" s="18">
        <v>348.87200000000001</v>
      </c>
      <c r="H23" s="19">
        <f t="shared" si="0"/>
        <v>348.81799999999998</v>
      </c>
      <c r="I23" s="48"/>
      <c r="J23" s="18">
        <v>304.74900000000002</v>
      </c>
      <c r="K23" s="49"/>
      <c r="L23" s="45"/>
      <c r="M23" s="45"/>
      <c r="N23" s="34">
        <v>348.97399999999999</v>
      </c>
      <c r="O23" s="18">
        <v>349.17399999999998</v>
      </c>
      <c r="P23" s="19">
        <f t="shared" si="1"/>
        <v>349.07399999999996</v>
      </c>
      <c r="Q23" s="48"/>
      <c r="R23" s="40">
        <v>304.30200000000002</v>
      </c>
      <c r="S23" s="49"/>
      <c r="T23" s="45"/>
      <c r="U23" s="45"/>
      <c r="V23" s="17"/>
    </row>
    <row r="24" spans="1:22" x14ac:dyDescent="0.25">
      <c r="A24" s="3" t="s">
        <v>13</v>
      </c>
      <c r="B24" s="13" t="s">
        <v>41</v>
      </c>
      <c r="C24" s="3">
        <v>1</v>
      </c>
      <c r="D24" s="13">
        <v>196.2</v>
      </c>
      <c r="E24" s="3" t="s">
        <v>11</v>
      </c>
      <c r="F24" s="13">
        <v>270.18599999999998</v>
      </c>
      <c r="G24" s="14">
        <v>269.66000000000003</v>
      </c>
      <c r="H24" s="14">
        <f t="shared" si="0"/>
        <v>269.923</v>
      </c>
      <c r="I24" s="48">
        <f t="shared" ref="I24" si="44">AVERAGE(H24:H26)</f>
        <v>270.09549999999996</v>
      </c>
      <c r="J24" s="13">
        <v>508.93200000000002</v>
      </c>
      <c r="K24" s="49">
        <f t="shared" si="34"/>
        <v>508.28399999999993</v>
      </c>
      <c r="L24" s="45">
        <f t="shared" si="35"/>
        <v>6.4970273800549379</v>
      </c>
      <c r="M24" s="45">
        <f t="shared" ref="M24" si="45">2*SQRT(((1+43/I24)/2)^2+(1.32*STDEV(H24:H26)/SQRT(3))^2)</f>
        <v>1.2782277978561076</v>
      </c>
      <c r="N24" s="32">
        <v>270.03800000000001</v>
      </c>
      <c r="O24" s="13">
        <v>269.77699999999999</v>
      </c>
      <c r="P24" s="14">
        <f t="shared" si="1"/>
        <v>269.90750000000003</v>
      </c>
      <c r="Q24" s="48">
        <f t="shared" ref="Q24" si="46">AVERAGE(P24:P26)</f>
        <v>269.91833333333335</v>
      </c>
      <c r="R24" s="38">
        <v>508.99299999999999</v>
      </c>
      <c r="S24" s="49">
        <f t="shared" si="37"/>
        <v>508.95099999999996</v>
      </c>
      <c r="T24" s="45">
        <f t="shared" si="38"/>
        <v>6.3129828981545186</v>
      </c>
      <c r="U24" s="45">
        <f t="shared" ref="U24" si="47">2*SQRT(((1+43/Q24)/2)^2+(1.32*STDEV(P24:P26)/SQRT(3))^2)</f>
        <v>1.2403910981910871</v>
      </c>
      <c r="V24" s="3" t="s">
        <v>71</v>
      </c>
    </row>
    <row r="25" spans="1:22" x14ac:dyDescent="0.25">
      <c r="A25" s="15" t="s">
        <v>13</v>
      </c>
      <c r="B25" t="s">
        <v>41</v>
      </c>
      <c r="C25" s="15">
        <v>2</v>
      </c>
      <c r="D25">
        <v>196.2</v>
      </c>
      <c r="E25" s="15" t="s">
        <v>11</v>
      </c>
      <c r="F25">
        <v>269.87299999999999</v>
      </c>
      <c r="G25" s="16">
        <v>269.85000000000002</v>
      </c>
      <c r="H25" s="16">
        <f t="shared" si="0"/>
        <v>269.86149999999998</v>
      </c>
      <c r="I25" s="48"/>
      <c r="J25">
        <v>509.16399999999999</v>
      </c>
      <c r="K25" s="49"/>
      <c r="L25" s="45"/>
      <c r="M25" s="45"/>
      <c r="N25" s="33">
        <v>269.54700000000003</v>
      </c>
      <c r="O25">
        <v>269.72199999999998</v>
      </c>
      <c r="P25" s="16">
        <f t="shared" si="1"/>
        <v>269.6345</v>
      </c>
      <c r="Q25" s="48"/>
      <c r="R25" s="39">
        <v>510.02</v>
      </c>
      <c r="S25" s="49"/>
      <c r="T25" s="45"/>
      <c r="U25" s="45"/>
      <c r="V25" s="15"/>
    </row>
    <row r="26" spans="1:22" x14ac:dyDescent="0.25">
      <c r="A26" s="17" t="s">
        <v>13</v>
      </c>
      <c r="B26" s="18" t="s">
        <v>41</v>
      </c>
      <c r="C26" s="17">
        <v>3</v>
      </c>
      <c r="D26" s="18">
        <v>196.2</v>
      </c>
      <c r="E26" s="17" t="s">
        <v>11</v>
      </c>
      <c r="F26" s="18">
        <v>270.47899999999998</v>
      </c>
      <c r="G26" s="18">
        <v>270.52499999999998</v>
      </c>
      <c r="H26" s="19">
        <f t="shared" si="0"/>
        <v>270.50199999999995</v>
      </c>
      <c r="I26" s="48"/>
      <c r="J26" s="18">
        <v>506.75599999999997</v>
      </c>
      <c r="K26" s="49"/>
      <c r="L26" s="45"/>
      <c r="M26" s="45"/>
      <c r="N26" s="34">
        <v>270.39699999999999</v>
      </c>
      <c r="O26" s="18">
        <v>270.029</v>
      </c>
      <c r="P26" s="19">
        <f t="shared" si="1"/>
        <v>270.21299999999997</v>
      </c>
      <c r="Q26" s="48"/>
      <c r="R26" s="40">
        <v>507.84</v>
      </c>
      <c r="S26" s="49"/>
      <c r="T26" s="45"/>
      <c r="U26" s="45"/>
      <c r="V26" s="17"/>
    </row>
    <row r="27" spans="1:22" x14ac:dyDescent="0.25">
      <c r="A27" s="3" t="s">
        <v>14</v>
      </c>
      <c r="B27" s="13" t="s">
        <v>41</v>
      </c>
      <c r="C27" s="3">
        <v>1</v>
      </c>
      <c r="D27" s="13">
        <v>196.2</v>
      </c>
      <c r="E27" s="3" t="s">
        <v>11</v>
      </c>
      <c r="F27" s="13">
        <v>227.965</v>
      </c>
      <c r="G27" s="13">
        <v>227.47800000000001</v>
      </c>
      <c r="H27" s="14">
        <f t="shared" si="0"/>
        <v>227.72149999999999</v>
      </c>
      <c r="I27" s="48">
        <f t="shared" ref="I27" si="48">AVERAGE(H27:H29)</f>
        <v>227.45366666666666</v>
      </c>
      <c r="J27" s="13">
        <v>715.04200000000003</v>
      </c>
      <c r="K27" s="49">
        <f t="shared" si="34"/>
        <v>716.73133333333328</v>
      </c>
      <c r="L27" s="45">
        <f t="shared" si="35"/>
        <v>9.5726972003215707</v>
      </c>
      <c r="M27" s="45">
        <f t="shared" ref="M27" si="49">2*SQRT(((1+43/I27)/2)^2+(1.32*STDEV(H27:H29)/SQRT(3))^2)</f>
        <v>1.3356046757159918</v>
      </c>
      <c r="N27" s="32">
        <v>227.61500000000001</v>
      </c>
      <c r="O27" s="13">
        <v>227.82300000000001</v>
      </c>
      <c r="P27" s="14">
        <f t="shared" si="1"/>
        <v>227.71899999999999</v>
      </c>
      <c r="Q27" s="48">
        <f t="shared" ref="Q27" si="50">AVERAGE(P27:P29)</f>
        <v>227.16983333333334</v>
      </c>
      <c r="R27" s="38">
        <v>715.05799999999999</v>
      </c>
      <c r="S27" s="49">
        <f t="shared" si="37"/>
        <v>717.44</v>
      </c>
      <c r="T27" s="45">
        <f t="shared" si="38"/>
        <v>10.042173382764933</v>
      </c>
      <c r="U27" s="45">
        <f t="shared" ref="U27" si="51">2*SQRT(((1+43/Q27)/2)^2+(1.32*STDEV(P27:P29)/SQRT(3))^2)</f>
        <v>1.3997230963934171</v>
      </c>
      <c r="V27" s="3" t="s">
        <v>66</v>
      </c>
    </row>
    <row r="28" spans="1:22" x14ac:dyDescent="0.25">
      <c r="A28" s="15" t="s">
        <v>14</v>
      </c>
      <c r="B28" t="s">
        <v>41</v>
      </c>
      <c r="C28" s="15">
        <v>2</v>
      </c>
      <c r="D28">
        <v>196.2</v>
      </c>
      <c r="E28" s="15" t="s">
        <v>11</v>
      </c>
      <c r="F28">
        <v>227.75700000000001</v>
      </c>
      <c r="G28">
        <v>227.53200000000001</v>
      </c>
      <c r="H28" s="16">
        <f t="shared" si="0"/>
        <v>227.64449999999999</v>
      </c>
      <c r="I28" s="48"/>
      <c r="J28">
        <v>715.52599999999995</v>
      </c>
      <c r="K28" s="49"/>
      <c r="L28" s="45"/>
      <c r="M28" s="45"/>
      <c r="N28" s="33">
        <v>227.07300000000001</v>
      </c>
      <c r="O28" s="16">
        <v>226.9</v>
      </c>
      <c r="P28" s="16">
        <f t="shared" si="1"/>
        <v>226.98650000000001</v>
      </c>
      <c r="Q28" s="48"/>
      <c r="R28" s="39">
        <v>716.423</v>
      </c>
      <c r="S28" s="49"/>
      <c r="T28" s="45"/>
      <c r="U28" s="45"/>
      <c r="V28" s="15"/>
    </row>
    <row r="29" spans="1:22" x14ac:dyDescent="0.25">
      <c r="A29" s="17" t="s">
        <v>14</v>
      </c>
      <c r="B29" s="18" t="s">
        <v>41</v>
      </c>
      <c r="C29" s="17">
        <v>3</v>
      </c>
      <c r="D29" s="18">
        <v>196.2</v>
      </c>
      <c r="E29" s="17" t="s">
        <v>11</v>
      </c>
      <c r="F29" s="18">
        <v>227.274</v>
      </c>
      <c r="G29" s="18">
        <v>226.71600000000001</v>
      </c>
      <c r="H29" s="19">
        <f t="shared" si="0"/>
        <v>226.995</v>
      </c>
      <c r="I29" s="48"/>
      <c r="J29" s="18">
        <v>719.62599999999998</v>
      </c>
      <c r="K29" s="49"/>
      <c r="L29" s="45"/>
      <c r="M29" s="45"/>
      <c r="N29" s="34">
        <v>226.26300000000001</v>
      </c>
      <c r="O29" s="18">
        <v>227.345</v>
      </c>
      <c r="P29" s="19">
        <f t="shared" si="1"/>
        <v>226.804</v>
      </c>
      <c r="Q29" s="48"/>
      <c r="R29" s="40">
        <v>720.83900000000006</v>
      </c>
      <c r="S29" s="49"/>
      <c r="T29" s="45"/>
      <c r="U29" s="45"/>
      <c r="V29" s="17"/>
    </row>
    <row r="30" spans="1:22" x14ac:dyDescent="0.25">
      <c r="A30" s="3" t="s">
        <v>16</v>
      </c>
      <c r="B30" s="13" t="s">
        <v>41</v>
      </c>
      <c r="C30" s="3">
        <v>1</v>
      </c>
      <c r="D30" s="13">
        <v>196.2</v>
      </c>
      <c r="E30" s="3" t="s">
        <v>11</v>
      </c>
      <c r="F30" s="13">
        <v>202.798</v>
      </c>
      <c r="G30" s="13">
        <v>202.57599999999999</v>
      </c>
      <c r="H30" s="14">
        <f t="shared" si="0"/>
        <v>202.68700000000001</v>
      </c>
      <c r="I30" s="48">
        <f t="shared" ref="I30" si="52">AVERAGE(H30:H32)</f>
        <v>202.82166666666669</v>
      </c>
      <c r="J30" s="13">
        <v>902.58500000000004</v>
      </c>
      <c r="K30" s="49">
        <f t="shared" si="34"/>
        <v>901.38866666666672</v>
      </c>
      <c r="L30" s="45">
        <f t="shared" si="35"/>
        <v>11.276255280425465</v>
      </c>
      <c r="M30" s="45">
        <f t="shared" ref="M30" si="53">2*SQRT(((1+43/I30)/2)^2+(1.32*STDEV(H30:H32)/SQRT(3))^2)</f>
        <v>1.2509870267312138</v>
      </c>
      <c r="N30" s="32">
        <v>202.346</v>
      </c>
      <c r="O30" s="13">
        <v>203.17599999999999</v>
      </c>
      <c r="P30" s="14">
        <f t="shared" si="1"/>
        <v>202.761</v>
      </c>
      <c r="Q30" s="48">
        <f t="shared" ref="Q30" si="54">AVERAGE(P30:P32)</f>
        <v>202.56600000000003</v>
      </c>
      <c r="R30" s="38">
        <v>901.92600000000004</v>
      </c>
      <c r="S30" s="49">
        <f t="shared" si="37"/>
        <v>903.66933333333338</v>
      </c>
      <c r="T30" s="45">
        <f t="shared" si="38"/>
        <v>12.094224786386585</v>
      </c>
      <c r="U30" s="45">
        <f t="shared" ref="U30" si="55">2*SQRT(((1+43/Q30)/2)^2+(1.32*STDEV(P30:P32)/SQRT(3))^2)</f>
        <v>1.3383462667450539</v>
      </c>
      <c r="V30" s="3" t="s">
        <v>68</v>
      </c>
    </row>
    <row r="31" spans="1:22" x14ac:dyDescent="0.25">
      <c r="A31" s="15" t="s">
        <v>16</v>
      </c>
      <c r="B31" t="s">
        <v>41</v>
      </c>
      <c r="C31" s="15">
        <v>2</v>
      </c>
      <c r="D31">
        <v>196.2</v>
      </c>
      <c r="E31" s="15" t="s">
        <v>11</v>
      </c>
      <c r="F31">
        <v>203.28700000000001</v>
      </c>
      <c r="G31">
        <v>202.82400000000001</v>
      </c>
      <c r="H31" s="16">
        <f t="shared" si="0"/>
        <v>203.05549999999999</v>
      </c>
      <c r="I31" s="48"/>
      <c r="J31">
        <v>899.31200000000001</v>
      </c>
      <c r="K31" s="49"/>
      <c r="L31" s="45"/>
      <c r="M31" s="45"/>
      <c r="N31" s="33">
        <v>203.227</v>
      </c>
      <c r="O31">
        <v>202.37299999999999</v>
      </c>
      <c r="P31" s="16">
        <f t="shared" si="1"/>
        <v>202.8</v>
      </c>
      <c r="Q31" s="48"/>
      <c r="R31" s="39">
        <v>901.57899999999995</v>
      </c>
      <c r="S31" s="49"/>
      <c r="T31" s="45"/>
      <c r="U31" s="45"/>
      <c r="V31" s="15"/>
    </row>
    <row r="32" spans="1:22" x14ac:dyDescent="0.25">
      <c r="A32" s="17" t="s">
        <v>16</v>
      </c>
      <c r="B32" s="18" t="s">
        <v>41</v>
      </c>
      <c r="C32" s="17">
        <v>3</v>
      </c>
      <c r="D32" s="18">
        <v>196.2</v>
      </c>
      <c r="E32" s="17" t="s">
        <v>11</v>
      </c>
      <c r="F32" s="18">
        <v>202.93899999999999</v>
      </c>
      <c r="G32" s="18">
        <v>202.506</v>
      </c>
      <c r="H32" s="19">
        <f t="shared" si="0"/>
        <v>202.7225</v>
      </c>
      <c r="I32" s="48"/>
      <c r="J32" s="18">
        <v>902.26900000000001</v>
      </c>
      <c r="K32" s="49"/>
      <c r="L32" s="45"/>
      <c r="M32" s="45"/>
      <c r="N32" s="34">
        <v>202.17500000000001</v>
      </c>
      <c r="O32" s="18">
        <v>202.09899999999999</v>
      </c>
      <c r="P32" s="19">
        <f t="shared" si="1"/>
        <v>202.137</v>
      </c>
      <c r="Q32" s="48"/>
      <c r="R32" s="40">
        <v>907.50300000000004</v>
      </c>
      <c r="S32" s="49"/>
      <c r="T32" s="45"/>
      <c r="U32" s="45"/>
      <c r="V32" s="17"/>
    </row>
    <row r="33" spans="1:22" x14ac:dyDescent="0.25">
      <c r="A33" s="4" t="s">
        <v>10</v>
      </c>
      <c r="B33" s="5" t="s">
        <v>42</v>
      </c>
      <c r="C33" s="4">
        <v>1</v>
      </c>
      <c r="D33" s="5">
        <v>490.5</v>
      </c>
      <c r="E33" s="4" t="s">
        <v>11</v>
      </c>
      <c r="F33" s="5">
        <v>756.60699999999997</v>
      </c>
      <c r="G33" s="5">
        <v>756.33500000000004</v>
      </c>
      <c r="H33" s="6">
        <f>(F33+G33)/2</f>
        <v>756.471</v>
      </c>
      <c r="I33" s="47">
        <f>AVERAGE(H33:H35)</f>
        <v>756.25750000000005</v>
      </c>
      <c r="J33" s="6">
        <v>162</v>
      </c>
      <c r="K33" s="47">
        <f t="shared" si="34"/>
        <v>162.1</v>
      </c>
      <c r="L33" s="46">
        <f t="shared" si="35"/>
        <v>6.9688714625615775</v>
      </c>
      <c r="M33" s="46">
        <f t="shared" ref="M33" si="56">2*SQRT(((1+43/I33)/2)^2+(1.32*STDEV(H33:H35)/SQRT(3))^2)</f>
        <v>4.2991187307597638</v>
      </c>
      <c r="N33" s="21">
        <v>756.80899999999997</v>
      </c>
      <c r="O33" s="6">
        <v>757.33</v>
      </c>
      <c r="P33" s="6">
        <f t="shared" si="1"/>
        <v>757.06950000000006</v>
      </c>
      <c r="Q33" s="47">
        <f>AVERAGE(P33:P35)</f>
        <v>756.64499999999998</v>
      </c>
      <c r="R33" s="37">
        <v>162</v>
      </c>
      <c r="S33" s="47">
        <f>AVERAGE(R33:R35)</f>
        <v>162.03333333333333</v>
      </c>
      <c r="T33" s="46">
        <f>+U33*S33/100</f>
        <v>7.3000920252158359</v>
      </c>
      <c r="U33" s="46">
        <f>2*SQRT(((1+43/Q33)/2)^2+(1.32*STDEV(P33:P35)/SQRT(3))^2)</f>
        <v>4.5053026281932746</v>
      </c>
      <c r="V33" s="4"/>
    </row>
    <row r="34" spans="1:22" x14ac:dyDescent="0.25">
      <c r="A34" s="7" t="s">
        <v>10</v>
      </c>
      <c r="B34" s="8" t="s">
        <v>42</v>
      </c>
      <c r="C34" s="7">
        <v>2</v>
      </c>
      <c r="D34" s="8">
        <v>490.5</v>
      </c>
      <c r="E34" s="7" t="s">
        <v>11</v>
      </c>
      <c r="F34" s="8">
        <v>758.55700000000002</v>
      </c>
      <c r="G34" s="9">
        <v>759.2</v>
      </c>
      <c r="H34" s="9">
        <f t="shared" si="0"/>
        <v>758.87850000000003</v>
      </c>
      <c r="I34" s="47"/>
      <c r="J34" s="9">
        <v>161</v>
      </c>
      <c r="K34" s="47"/>
      <c r="L34" s="46"/>
      <c r="M34" s="46"/>
      <c r="N34" s="23">
        <v>758.98199999999997</v>
      </c>
      <c r="O34" s="8">
        <v>759.58299999999997</v>
      </c>
      <c r="P34" s="9">
        <f t="shared" si="1"/>
        <v>759.28250000000003</v>
      </c>
      <c r="Q34" s="47"/>
      <c r="R34" s="36">
        <v>160.80000000000001</v>
      </c>
      <c r="S34" s="47"/>
      <c r="T34" s="46"/>
      <c r="U34" s="46"/>
      <c r="V34" s="7"/>
    </row>
    <row r="35" spans="1:22" x14ac:dyDescent="0.25">
      <c r="A35" s="10" t="s">
        <v>10</v>
      </c>
      <c r="B35" s="11" t="s">
        <v>42</v>
      </c>
      <c r="C35" s="10">
        <v>3</v>
      </c>
      <c r="D35" s="11">
        <v>490.5</v>
      </c>
      <c r="E35" s="10" t="s">
        <v>11</v>
      </c>
      <c r="F35" s="11">
        <v>753.11400000000003</v>
      </c>
      <c r="G35" s="11">
        <v>753.73199999999997</v>
      </c>
      <c r="H35" s="12">
        <f t="shared" si="0"/>
        <v>753.423</v>
      </c>
      <c r="I35" s="47"/>
      <c r="J35" s="12">
        <v>163.30000000000001</v>
      </c>
      <c r="K35" s="47"/>
      <c r="L35" s="46"/>
      <c r="M35" s="46"/>
      <c r="N35" s="25">
        <v>753.54399999999998</v>
      </c>
      <c r="O35" s="11">
        <v>753.62199999999996</v>
      </c>
      <c r="P35" s="12">
        <f t="shared" si="1"/>
        <v>753.58299999999997</v>
      </c>
      <c r="Q35" s="47"/>
      <c r="R35" s="41">
        <v>163.30000000000001</v>
      </c>
      <c r="S35" s="47"/>
      <c r="T35" s="46"/>
      <c r="U35" s="46"/>
      <c r="V35" s="10"/>
    </row>
    <row r="36" spans="1:22" x14ac:dyDescent="0.25">
      <c r="A36" s="4" t="s">
        <v>12</v>
      </c>
      <c r="B36" s="5" t="s">
        <v>42</v>
      </c>
      <c r="C36" s="4">
        <v>1</v>
      </c>
      <c r="D36" s="5">
        <v>490.5</v>
      </c>
      <c r="E36" s="4" t="s">
        <v>11</v>
      </c>
      <c r="F36" s="5">
        <v>550.79100000000005</v>
      </c>
      <c r="G36" s="5">
        <v>552.23400000000004</v>
      </c>
      <c r="H36" s="6">
        <f t="shared" si="0"/>
        <v>551.51250000000005</v>
      </c>
      <c r="I36" s="47">
        <f t="shared" ref="I36" si="57">AVERAGE(H36:H38)</f>
        <v>551.69333333333338</v>
      </c>
      <c r="J36" s="6">
        <v>304.8</v>
      </c>
      <c r="K36" s="47">
        <f t="shared" si="34"/>
        <v>304.63333333333338</v>
      </c>
      <c r="L36" s="46">
        <f t="shared" si="35"/>
        <v>3.8664394859603459</v>
      </c>
      <c r="M36" s="46">
        <f t="shared" ref="M36" si="58">2*SQRT(((1+43/I36)/2)^2+(1.32*STDEV(H36:H38)/SQRT(3))^2)</f>
        <v>1.2692109046811506</v>
      </c>
      <c r="N36" s="31">
        <v>550.99</v>
      </c>
      <c r="O36" s="5">
        <v>552.97</v>
      </c>
      <c r="P36" s="6">
        <f t="shared" si="1"/>
        <v>551.98</v>
      </c>
      <c r="Q36" s="47">
        <f t="shared" ref="Q36" si="59">AVERAGE(P36:P38)</f>
        <v>551.73266666666666</v>
      </c>
      <c r="R36" s="37">
        <v>304.3</v>
      </c>
      <c r="S36" s="47">
        <f t="shared" ref="S36" si="60">AVERAGE(R36:R38)</f>
        <v>304.56666666666666</v>
      </c>
      <c r="T36" s="46">
        <f t="shared" ref="T36" si="61">+U36*S36/100</f>
        <v>3.8509681281507842</v>
      </c>
      <c r="U36" s="46">
        <f t="shared" ref="U36" si="62">2*SQRT(((1+43/Q36)/2)^2+(1.32*STDEV(P36:P38)/SQRT(3))^2)</f>
        <v>1.2644089290196292</v>
      </c>
      <c r="V36" s="4"/>
    </row>
    <row r="37" spans="1:22" x14ac:dyDescent="0.25">
      <c r="A37" s="7" t="s">
        <v>12</v>
      </c>
      <c r="B37" s="8" t="s">
        <v>42</v>
      </c>
      <c r="C37" s="7">
        <v>2</v>
      </c>
      <c r="D37" s="8">
        <v>490.5</v>
      </c>
      <c r="E37" s="7" t="s">
        <v>11</v>
      </c>
      <c r="F37" s="8">
        <v>552.21400000000006</v>
      </c>
      <c r="G37" s="8">
        <v>552.17499999999995</v>
      </c>
      <c r="H37" s="9">
        <f t="shared" si="0"/>
        <v>552.19450000000006</v>
      </c>
      <c r="I37" s="47"/>
      <c r="J37" s="9">
        <v>304.10000000000002</v>
      </c>
      <c r="K37" s="47"/>
      <c r="L37" s="46"/>
      <c r="M37" s="46"/>
      <c r="N37" s="23">
        <v>552.33900000000006</v>
      </c>
      <c r="O37" s="8">
        <v>551.63300000000004</v>
      </c>
      <c r="P37" s="9">
        <f t="shared" si="1"/>
        <v>551.9860000000001</v>
      </c>
      <c r="Q37" s="47"/>
      <c r="R37" s="36">
        <v>304.3</v>
      </c>
      <c r="S37" s="47"/>
      <c r="T37" s="46"/>
      <c r="U37" s="46"/>
      <c r="V37" s="7"/>
    </row>
    <row r="38" spans="1:22" x14ac:dyDescent="0.25">
      <c r="A38" s="10" t="s">
        <v>12</v>
      </c>
      <c r="B38" s="11" t="s">
        <v>42</v>
      </c>
      <c r="C38" s="10">
        <v>3</v>
      </c>
      <c r="D38" s="11">
        <v>490.5</v>
      </c>
      <c r="E38" s="10" t="s">
        <v>11</v>
      </c>
      <c r="F38" s="11">
        <v>550.94399999999996</v>
      </c>
      <c r="G38" s="11">
        <v>551.80200000000002</v>
      </c>
      <c r="H38" s="12">
        <f t="shared" si="0"/>
        <v>551.37300000000005</v>
      </c>
      <c r="I38" s="47"/>
      <c r="J38" s="12">
        <v>305</v>
      </c>
      <c r="K38" s="47"/>
      <c r="L38" s="46"/>
      <c r="M38" s="46"/>
      <c r="N38" s="25">
        <v>550.97400000000005</v>
      </c>
      <c r="O38" s="11">
        <v>551.49</v>
      </c>
      <c r="P38" s="12">
        <f t="shared" si="1"/>
        <v>551.23199999999997</v>
      </c>
      <c r="Q38" s="47"/>
      <c r="R38" s="41">
        <v>305.10000000000002</v>
      </c>
      <c r="S38" s="47"/>
      <c r="T38" s="46"/>
      <c r="U38" s="46"/>
      <c r="V38" s="10"/>
    </row>
    <row r="39" spans="1:22" x14ac:dyDescent="0.25">
      <c r="A39" s="4" t="s">
        <v>13</v>
      </c>
      <c r="B39" s="5" t="s">
        <v>42</v>
      </c>
      <c r="C39" s="4">
        <v>1</v>
      </c>
      <c r="D39" s="5">
        <v>490.5</v>
      </c>
      <c r="E39" s="4" t="s">
        <v>11</v>
      </c>
      <c r="F39" s="5">
        <v>426.10700000000003</v>
      </c>
      <c r="G39" s="5">
        <v>426.54300000000001</v>
      </c>
      <c r="H39" s="6">
        <f t="shared" si="0"/>
        <v>426.32500000000005</v>
      </c>
      <c r="I39" s="47">
        <f t="shared" ref="I39" si="63">AVERAGE(H39:H41)</f>
        <v>426.53716666666668</v>
      </c>
      <c r="J39" s="6">
        <v>510.1</v>
      </c>
      <c r="K39" s="47">
        <f t="shared" si="34"/>
        <v>509.59999999999997</v>
      </c>
      <c r="L39" s="46">
        <f t="shared" si="35"/>
        <v>5.8116109620387446</v>
      </c>
      <c r="M39" s="46">
        <f t="shared" ref="M39" si="64">2*SQRT(((1+43/I39)/2)^2+(1.32*STDEV(H39:H41)/SQRT(3))^2)</f>
        <v>1.1404260129589374</v>
      </c>
      <c r="N39" s="21">
        <v>426.53899999999999</v>
      </c>
      <c r="O39" s="5">
        <v>426.46199999999999</v>
      </c>
      <c r="P39" s="6">
        <f t="shared" si="1"/>
        <v>426.50049999999999</v>
      </c>
      <c r="Q39" s="47">
        <f t="shared" ref="Q39" si="65">AVERAGE(P39:P41)</f>
        <v>426.81516666666658</v>
      </c>
      <c r="R39" s="37">
        <v>509.7</v>
      </c>
      <c r="S39" s="47">
        <f t="shared" ref="S39" si="66">AVERAGE(R39:R41)</f>
        <v>508.93333333333339</v>
      </c>
      <c r="T39" s="46">
        <f t="shared" ref="T39" si="67">+U39*S39/100</f>
        <v>6.2623784425357449</v>
      </c>
      <c r="U39" s="46">
        <f t="shared" ref="U39" si="68">2*SQRT(((1+43/Q39)/2)^2+(1.32*STDEV(P39:P41)/SQRT(3))^2)</f>
        <v>1.2304909174487315</v>
      </c>
      <c r="V39" s="4"/>
    </row>
    <row r="40" spans="1:22" x14ac:dyDescent="0.25">
      <c r="A40" s="7" t="s">
        <v>13</v>
      </c>
      <c r="B40" s="8" t="s">
        <v>42</v>
      </c>
      <c r="C40" s="7">
        <v>2</v>
      </c>
      <c r="D40" s="8">
        <v>490.5</v>
      </c>
      <c r="E40" s="7" t="s">
        <v>11</v>
      </c>
      <c r="F40" s="8">
        <v>426.33100000000002</v>
      </c>
      <c r="G40" s="8">
        <v>427.089</v>
      </c>
      <c r="H40" s="9">
        <f t="shared" si="0"/>
        <v>426.71000000000004</v>
      </c>
      <c r="I40" s="47"/>
      <c r="J40" s="9">
        <v>509.2</v>
      </c>
      <c r="K40" s="47"/>
      <c r="L40" s="46"/>
      <c r="M40" s="46"/>
      <c r="N40" s="23">
        <v>426.73399999999998</v>
      </c>
      <c r="O40" s="8">
        <v>427.68400000000003</v>
      </c>
      <c r="P40" s="9">
        <f t="shared" si="1"/>
        <v>427.209</v>
      </c>
      <c r="Q40" s="47"/>
      <c r="R40" s="36">
        <v>508</v>
      </c>
      <c r="S40" s="47"/>
      <c r="T40" s="46"/>
      <c r="U40" s="46"/>
      <c r="V40" s="7"/>
    </row>
    <row r="41" spans="1:22" x14ac:dyDescent="0.25">
      <c r="A41" s="10" t="s">
        <v>13</v>
      </c>
      <c r="B41" s="11" t="s">
        <v>42</v>
      </c>
      <c r="C41" s="10">
        <v>3</v>
      </c>
      <c r="D41" s="11">
        <v>490.5</v>
      </c>
      <c r="E41" s="10" t="s">
        <v>11</v>
      </c>
      <c r="F41" s="12">
        <v>426.65</v>
      </c>
      <c r="G41" s="11">
        <v>426.50299999999999</v>
      </c>
      <c r="H41" s="12">
        <f t="shared" si="0"/>
        <v>426.57650000000001</v>
      </c>
      <c r="I41" s="47"/>
      <c r="J41" s="12">
        <v>509.5</v>
      </c>
      <c r="K41" s="47"/>
      <c r="L41" s="46"/>
      <c r="M41" s="46"/>
      <c r="N41" s="25">
        <v>427.24700000000001</v>
      </c>
      <c r="O41" s="11">
        <v>426.22500000000002</v>
      </c>
      <c r="P41" s="12">
        <f t="shared" si="1"/>
        <v>426.73599999999999</v>
      </c>
      <c r="Q41" s="47"/>
      <c r="R41" s="41">
        <v>509.1</v>
      </c>
      <c r="S41" s="47"/>
      <c r="T41" s="46"/>
      <c r="U41" s="46"/>
      <c r="V41" s="10"/>
    </row>
    <row r="42" spans="1:22" x14ac:dyDescent="0.25">
      <c r="A42" s="4" t="s">
        <v>14</v>
      </c>
      <c r="B42" s="5" t="s">
        <v>42</v>
      </c>
      <c r="C42" s="4">
        <v>1</v>
      </c>
      <c r="D42" s="5">
        <v>490.5</v>
      </c>
      <c r="E42" s="4" t="s">
        <v>11</v>
      </c>
      <c r="F42" s="5">
        <v>360.46800000000002</v>
      </c>
      <c r="G42" s="5">
        <v>360.30200000000002</v>
      </c>
      <c r="H42" s="6">
        <f t="shared" si="0"/>
        <v>360.38499999999999</v>
      </c>
      <c r="I42" s="47">
        <f t="shared" ref="I42" si="69">AVERAGE(H42:H44)</f>
        <v>360.77066666666661</v>
      </c>
      <c r="J42" s="6">
        <v>713.9</v>
      </c>
      <c r="K42" s="47">
        <f t="shared" si="34"/>
        <v>712.36666666666667</v>
      </c>
      <c r="L42" s="46">
        <f t="shared" si="35"/>
        <v>9.0466131005558985</v>
      </c>
      <c r="M42" s="46">
        <f t="shared" ref="M42" si="70">2*SQRT(((1+43/I42)/2)^2+(1.32*STDEV(H42:H44)/SQRT(3))^2)</f>
        <v>1.2699377334550417</v>
      </c>
      <c r="N42" s="21">
        <v>360.39100000000002</v>
      </c>
      <c r="O42" s="5">
        <v>360.03100000000001</v>
      </c>
      <c r="P42" s="6">
        <f t="shared" si="1"/>
        <v>360.21100000000001</v>
      </c>
      <c r="Q42" s="47">
        <f t="shared" ref="Q42" si="71">AVERAGE(P42:P44)</f>
        <v>360.49399999999997</v>
      </c>
      <c r="R42" s="37">
        <v>714.6</v>
      </c>
      <c r="S42" s="47">
        <f t="shared" ref="S42" si="72">AVERAGE(R42:R44)</f>
        <v>713.4666666666667</v>
      </c>
      <c r="T42" s="46">
        <f t="shared" ref="T42" si="73">+U42*S42/100</f>
        <v>8.4852198744746445</v>
      </c>
      <c r="U42" s="46">
        <f t="shared" ref="U42" si="74">2*SQRT(((1+43/Q42)/2)^2+(1.32*STDEV(P42:P44)/SQRT(3))^2)</f>
        <v>1.1892945067942409</v>
      </c>
      <c r="V42" s="4"/>
    </row>
    <row r="43" spans="1:22" x14ac:dyDescent="0.25">
      <c r="A43" s="7" t="s">
        <v>14</v>
      </c>
      <c r="B43" s="8" t="s">
        <v>42</v>
      </c>
      <c r="C43" s="7">
        <v>2</v>
      </c>
      <c r="D43" s="8">
        <v>490.5</v>
      </c>
      <c r="E43" s="7" t="s">
        <v>11</v>
      </c>
      <c r="F43" s="8">
        <v>360.678</v>
      </c>
      <c r="G43" s="8">
        <v>360.83199999999999</v>
      </c>
      <c r="H43" s="9">
        <f t="shared" si="0"/>
        <v>360.755</v>
      </c>
      <c r="I43" s="47"/>
      <c r="J43" s="9">
        <v>712.4</v>
      </c>
      <c r="K43" s="47"/>
      <c r="L43" s="46"/>
      <c r="M43" s="46"/>
      <c r="N43" s="23">
        <v>360.79500000000002</v>
      </c>
      <c r="O43" s="8">
        <v>360.28100000000001</v>
      </c>
      <c r="P43" s="9">
        <f t="shared" si="1"/>
        <v>360.53800000000001</v>
      </c>
      <c r="Q43" s="47"/>
      <c r="R43" s="36">
        <v>713.3</v>
      </c>
      <c r="S43" s="47"/>
      <c r="T43" s="46"/>
      <c r="U43" s="46"/>
      <c r="V43" s="7"/>
    </row>
    <row r="44" spans="1:22" x14ac:dyDescent="0.25">
      <c r="A44" s="10" t="s">
        <v>14</v>
      </c>
      <c r="B44" s="11" t="s">
        <v>42</v>
      </c>
      <c r="C44" s="10">
        <v>3</v>
      </c>
      <c r="D44" s="11">
        <v>490.5</v>
      </c>
      <c r="E44" s="10" t="s">
        <v>11</v>
      </c>
      <c r="F44" s="11">
        <v>361.13799999999998</v>
      </c>
      <c r="G44" s="11">
        <v>361.20600000000002</v>
      </c>
      <c r="H44" s="12">
        <f t="shared" si="0"/>
        <v>361.17200000000003</v>
      </c>
      <c r="I44" s="47"/>
      <c r="J44" s="12">
        <v>710.8</v>
      </c>
      <c r="K44" s="47"/>
      <c r="L44" s="46"/>
      <c r="M44" s="46"/>
      <c r="N44" s="25">
        <v>361.02499999999998</v>
      </c>
      <c r="O44" s="11">
        <v>360.44099999999997</v>
      </c>
      <c r="P44" s="12">
        <f t="shared" si="1"/>
        <v>360.73299999999995</v>
      </c>
      <c r="Q44" s="47"/>
      <c r="R44" s="41">
        <v>712.5</v>
      </c>
      <c r="S44" s="47"/>
      <c r="T44" s="46"/>
      <c r="U44" s="46"/>
      <c r="V44" s="10"/>
    </row>
    <row r="45" spans="1:22" x14ac:dyDescent="0.25">
      <c r="A45" s="4" t="s">
        <v>16</v>
      </c>
      <c r="B45" s="5" t="s">
        <v>42</v>
      </c>
      <c r="C45" s="4">
        <v>1</v>
      </c>
      <c r="D45" s="5">
        <v>490.5</v>
      </c>
      <c r="E45" s="4" t="s">
        <v>11</v>
      </c>
      <c r="F45" s="5">
        <v>321.971</v>
      </c>
      <c r="G45" s="5">
        <v>321.54899999999998</v>
      </c>
      <c r="H45" s="6">
        <f t="shared" si="0"/>
        <v>321.76</v>
      </c>
      <c r="I45" s="47">
        <f t="shared" ref="I45" si="75">AVERAGE(H45:H47)</f>
        <v>321.80333333333334</v>
      </c>
      <c r="J45" s="6">
        <v>895.5</v>
      </c>
      <c r="K45" s="47">
        <f t="shared" si="34"/>
        <v>895.30000000000007</v>
      </c>
      <c r="L45" s="46">
        <f t="shared" si="35"/>
        <v>10.299913222382063</v>
      </c>
      <c r="M45" s="46">
        <f t="shared" ref="M45" si="76">2*SQRT(((1+43/I45)/2)^2+(1.32*STDEV(H45:H47)/SQRT(3))^2)</f>
        <v>1.1504426697623211</v>
      </c>
      <c r="N45" s="21">
        <v>321.00400000000002</v>
      </c>
      <c r="O45" s="5">
        <v>320.73399999999998</v>
      </c>
      <c r="P45" s="6">
        <f t="shared" si="1"/>
        <v>320.86900000000003</v>
      </c>
      <c r="Q45" s="47">
        <f t="shared" ref="Q45" si="77">AVERAGE(P45:P47)</f>
        <v>321.24916666666667</v>
      </c>
      <c r="R45" s="37">
        <v>900.5</v>
      </c>
      <c r="S45" s="47">
        <f t="shared" ref="S45" si="78">AVERAGE(R45:R47)</f>
        <v>898.36666666666667</v>
      </c>
      <c r="T45" s="46">
        <f t="shared" ref="T45" si="79">+U45*S45/100</f>
        <v>11.139197509649073</v>
      </c>
      <c r="U45" s="46">
        <f t="shared" ref="U45" si="80">2*SQRT(((1+43/Q45)/2)^2+(1.32*STDEV(P45:P47)/SQRT(3))^2)</f>
        <v>1.2399388716169055</v>
      </c>
      <c r="V45" s="4"/>
    </row>
    <row r="46" spans="1:22" x14ac:dyDescent="0.25">
      <c r="A46" s="7" t="s">
        <v>16</v>
      </c>
      <c r="B46" s="8" t="s">
        <v>42</v>
      </c>
      <c r="C46" s="7">
        <v>2</v>
      </c>
      <c r="D46" s="8">
        <v>490.5</v>
      </c>
      <c r="E46" s="7" t="s">
        <v>11</v>
      </c>
      <c r="F46" s="8">
        <v>321.85199999999998</v>
      </c>
      <c r="G46" s="8">
        <v>322.04399999999998</v>
      </c>
      <c r="H46" s="9">
        <f t="shared" si="0"/>
        <v>321.94799999999998</v>
      </c>
      <c r="I46" s="47"/>
      <c r="J46" s="9">
        <v>894.5</v>
      </c>
      <c r="K46" s="47"/>
      <c r="L46" s="46"/>
      <c r="M46" s="46"/>
      <c r="N46" s="23">
        <v>321.67700000000002</v>
      </c>
      <c r="O46" s="8">
        <v>321.20400000000001</v>
      </c>
      <c r="P46" s="9">
        <f t="shared" si="1"/>
        <v>321.44050000000004</v>
      </c>
      <c r="Q46" s="47"/>
      <c r="R46" s="36">
        <v>897.3</v>
      </c>
      <c r="S46" s="47"/>
      <c r="T46" s="46"/>
      <c r="U46" s="46"/>
      <c r="V46" s="7"/>
    </row>
    <row r="47" spans="1:22" x14ac:dyDescent="0.25">
      <c r="A47" s="10" t="s">
        <v>16</v>
      </c>
      <c r="B47" s="11" t="s">
        <v>42</v>
      </c>
      <c r="C47" s="10">
        <v>3</v>
      </c>
      <c r="D47" s="11">
        <v>490.5</v>
      </c>
      <c r="E47" s="10" t="s">
        <v>11</v>
      </c>
      <c r="F47" s="11">
        <v>321.762</v>
      </c>
      <c r="G47" s="11">
        <v>321.642</v>
      </c>
      <c r="H47" s="12">
        <f t="shared" si="0"/>
        <v>321.702</v>
      </c>
      <c r="I47" s="47"/>
      <c r="J47" s="12">
        <v>895.9</v>
      </c>
      <c r="K47" s="47"/>
      <c r="L47" s="46"/>
      <c r="M47" s="46"/>
      <c r="N47" s="25">
        <v>321.678</v>
      </c>
      <c r="O47" s="11">
        <v>321.19799999999998</v>
      </c>
      <c r="P47" s="12">
        <f t="shared" si="1"/>
        <v>321.43799999999999</v>
      </c>
      <c r="Q47" s="47"/>
      <c r="R47" s="41">
        <v>897.3</v>
      </c>
      <c r="S47" s="47"/>
      <c r="T47" s="46"/>
      <c r="U47" s="46"/>
      <c r="V47" s="10"/>
    </row>
    <row r="48" spans="1:22" x14ac:dyDescent="0.25">
      <c r="A48" s="3" t="s">
        <v>10</v>
      </c>
      <c r="B48" s="13" t="s">
        <v>43</v>
      </c>
      <c r="C48" s="3">
        <v>1</v>
      </c>
      <c r="D48" s="13">
        <v>981</v>
      </c>
      <c r="E48" s="3" t="s">
        <v>11</v>
      </c>
      <c r="F48" s="13">
        <v>1066.623</v>
      </c>
      <c r="G48" s="13">
        <v>1071.2639999999999</v>
      </c>
      <c r="H48" s="14">
        <f t="shared" si="0"/>
        <v>1068.9434999999999</v>
      </c>
      <c r="I48" s="48">
        <f>AVERAGE(H48:H50)</f>
        <v>1069.2361666666668</v>
      </c>
      <c r="J48" s="14">
        <v>162.30000000000001</v>
      </c>
      <c r="K48" s="49">
        <f t="shared" si="34"/>
        <v>162.20000000000002</v>
      </c>
      <c r="L48" s="45">
        <f t="shared" si="35"/>
        <v>7.7834847037676216</v>
      </c>
      <c r="M48" s="45">
        <f t="shared" ref="M48" si="81">2*SQRT(((1+43/I48)/2)^2+(1.32*STDEV(H48:H50)/SQRT(3))^2)</f>
        <v>4.7986958716199881</v>
      </c>
      <c r="N48" s="32">
        <v>1066.9770000000001</v>
      </c>
      <c r="O48" s="13">
        <v>1071.568</v>
      </c>
      <c r="P48" s="14">
        <f t="shared" si="1"/>
        <v>1069.2725</v>
      </c>
      <c r="Q48" s="48">
        <f>AVERAGE(P48:P50)</f>
        <v>1069.5240000000001</v>
      </c>
      <c r="R48" s="14">
        <v>162.19999999999999</v>
      </c>
      <c r="S48" s="49">
        <f t="shared" ref="S48:S60" si="82">AVERAGE(R48:R50)</f>
        <v>162.13333333333333</v>
      </c>
      <c r="T48" s="45">
        <f t="shared" ref="T48:T60" si="83">+U48*S48/100</f>
        <v>7.7406021638032154</v>
      </c>
      <c r="U48" s="45">
        <f t="shared" ref="U48" si="84">2*SQRT(((1+43/Q48)/2)^2+(1.32*STDEV(P48:P50)/SQRT(3))^2)</f>
        <v>4.7742200845825753</v>
      </c>
      <c r="V48" s="3"/>
    </row>
    <row r="49" spans="1:22" x14ac:dyDescent="0.25">
      <c r="A49" s="15" t="s">
        <v>10</v>
      </c>
      <c r="B49" t="s">
        <v>43</v>
      </c>
      <c r="C49" s="15">
        <v>2</v>
      </c>
      <c r="D49">
        <v>981</v>
      </c>
      <c r="E49" s="15" t="s">
        <v>11</v>
      </c>
      <c r="F49">
        <v>1072.357</v>
      </c>
      <c r="G49">
        <v>1072.5340000000001</v>
      </c>
      <c r="H49" s="16">
        <f t="shared" si="0"/>
        <v>1072.4455</v>
      </c>
      <c r="I49" s="48"/>
      <c r="J49" s="16">
        <v>161.19999999999999</v>
      </c>
      <c r="K49" s="49"/>
      <c r="L49" s="45"/>
      <c r="M49" s="45"/>
      <c r="N49" s="33">
        <v>1072.7750000000001</v>
      </c>
      <c r="O49">
        <v>1072.623</v>
      </c>
      <c r="P49" s="16">
        <f t="shared" si="1"/>
        <v>1072.6990000000001</v>
      </c>
      <c r="Q49" s="48"/>
      <c r="R49" s="16">
        <v>161.19999999999999</v>
      </c>
      <c r="S49" s="49"/>
      <c r="T49" s="45"/>
      <c r="U49" s="45"/>
      <c r="V49" s="15"/>
    </row>
    <row r="50" spans="1:22" x14ac:dyDescent="0.25">
      <c r="A50" s="17" t="s">
        <v>10</v>
      </c>
      <c r="B50" s="18" t="s">
        <v>43</v>
      </c>
      <c r="C50" s="17">
        <v>3</v>
      </c>
      <c r="D50" s="18">
        <v>981</v>
      </c>
      <c r="E50" s="17" t="s">
        <v>11</v>
      </c>
      <c r="F50" s="18">
        <v>1064.8140000000001</v>
      </c>
      <c r="G50" s="18">
        <v>1067.825</v>
      </c>
      <c r="H50" s="19">
        <f t="shared" si="0"/>
        <v>1066.3195000000001</v>
      </c>
      <c r="I50" s="48"/>
      <c r="J50" s="19">
        <v>163.1</v>
      </c>
      <c r="K50" s="49"/>
      <c r="L50" s="45"/>
      <c r="M50" s="45"/>
      <c r="N50" s="34">
        <v>1065.1469999999999</v>
      </c>
      <c r="O50" s="18">
        <v>1068.0540000000001</v>
      </c>
      <c r="P50" s="19">
        <f t="shared" si="1"/>
        <v>1066.6005</v>
      </c>
      <c r="Q50" s="48"/>
      <c r="R50" s="19">
        <v>163</v>
      </c>
      <c r="S50" s="49"/>
      <c r="T50" s="45"/>
      <c r="U50" s="45"/>
      <c r="V50" s="17"/>
    </row>
    <row r="51" spans="1:22" x14ac:dyDescent="0.25">
      <c r="A51" s="3" t="s">
        <v>12</v>
      </c>
      <c r="B51" s="13" t="s">
        <v>43</v>
      </c>
      <c r="C51" s="3">
        <v>1</v>
      </c>
      <c r="D51" s="13">
        <v>981</v>
      </c>
      <c r="E51" s="3" t="s">
        <v>11</v>
      </c>
      <c r="F51" s="13">
        <v>781.72299999999996</v>
      </c>
      <c r="G51" s="14">
        <v>781.85</v>
      </c>
      <c r="H51" s="14">
        <f t="shared" si="0"/>
        <v>781.78649999999993</v>
      </c>
      <c r="I51" s="48">
        <f t="shared" ref="I51" si="85">AVERAGE(H51:H53)</f>
        <v>781.48133333333317</v>
      </c>
      <c r="J51" s="14">
        <v>303.39999999999998</v>
      </c>
      <c r="K51" s="49">
        <f t="shared" si="34"/>
        <v>303.66666666666669</v>
      </c>
      <c r="L51" s="45">
        <f t="shared" si="35"/>
        <v>3.4297305030488667</v>
      </c>
      <c r="M51" s="45">
        <f t="shared" ref="M51" si="86">2*SQRT(((1+43/I51)/2)^2+(1.32*STDEV(H51:H53)/SQRT(3))^2)</f>
        <v>1.1294392435945773</v>
      </c>
      <c r="N51" s="32">
        <v>781.77700000000004</v>
      </c>
      <c r="O51" s="13">
        <v>782.07600000000002</v>
      </c>
      <c r="P51" s="14">
        <f t="shared" si="1"/>
        <v>781.92650000000003</v>
      </c>
      <c r="Q51" s="48">
        <f t="shared" ref="Q51" si="87">AVERAGE(P51:P53)</f>
        <v>781.70349999999996</v>
      </c>
      <c r="R51" s="14">
        <v>303.3</v>
      </c>
      <c r="S51" s="49">
        <f t="shared" si="82"/>
        <v>303.5</v>
      </c>
      <c r="T51" s="45">
        <f t="shared" si="83"/>
        <v>3.3930863802520514</v>
      </c>
      <c r="U51" s="45">
        <f t="shared" ref="U51" si="88">2*SQRT(((1+43/Q51)/2)^2+(1.32*STDEV(P51:P53)/SQRT(3))^2)</f>
        <v>1.1179856277601488</v>
      </c>
      <c r="V51" s="3"/>
    </row>
    <row r="52" spans="1:22" x14ac:dyDescent="0.25">
      <c r="A52" s="15" t="s">
        <v>12</v>
      </c>
      <c r="B52" t="s">
        <v>43</v>
      </c>
      <c r="C52" s="15">
        <v>2</v>
      </c>
      <c r="D52">
        <v>981</v>
      </c>
      <c r="E52" s="15" t="s">
        <v>11</v>
      </c>
      <c r="F52">
        <v>780.178</v>
      </c>
      <c r="G52">
        <v>782.45699999999999</v>
      </c>
      <c r="H52" s="16">
        <f t="shared" si="0"/>
        <v>781.3175</v>
      </c>
      <c r="I52" s="48"/>
      <c r="J52" s="16">
        <v>303.8</v>
      </c>
      <c r="K52" s="49"/>
      <c r="L52" s="45"/>
      <c r="M52" s="45"/>
      <c r="N52" s="33">
        <v>781.03499999999997</v>
      </c>
      <c r="O52">
        <v>782.44299999999998</v>
      </c>
      <c r="P52" s="16">
        <f t="shared" si="1"/>
        <v>781.73900000000003</v>
      </c>
      <c r="Q52" s="48"/>
      <c r="R52" s="16">
        <v>303.5</v>
      </c>
      <c r="S52" s="49"/>
      <c r="T52" s="45"/>
      <c r="U52" s="45"/>
      <c r="V52" s="15"/>
    </row>
    <row r="53" spans="1:22" x14ac:dyDescent="0.25">
      <c r="A53" s="17" t="s">
        <v>12</v>
      </c>
      <c r="B53" s="18" t="s">
        <v>43</v>
      </c>
      <c r="C53" s="17">
        <v>3</v>
      </c>
      <c r="D53" s="18">
        <v>981</v>
      </c>
      <c r="E53" s="17" t="s">
        <v>11</v>
      </c>
      <c r="F53" s="18">
        <v>780.45899999999995</v>
      </c>
      <c r="G53" s="18">
        <v>782.221</v>
      </c>
      <c r="H53" s="19">
        <f t="shared" si="0"/>
        <v>781.33999999999992</v>
      </c>
      <c r="I53" s="48"/>
      <c r="J53" s="19">
        <v>303.8</v>
      </c>
      <c r="K53" s="49"/>
      <c r="L53" s="45"/>
      <c r="M53" s="45"/>
      <c r="N53" s="34">
        <v>780.91200000000003</v>
      </c>
      <c r="O53" s="18">
        <v>781.97799999999995</v>
      </c>
      <c r="P53" s="19">
        <f t="shared" si="1"/>
        <v>781.44499999999994</v>
      </c>
      <c r="Q53" s="48"/>
      <c r="R53" s="19">
        <v>303.7</v>
      </c>
      <c r="S53" s="49"/>
      <c r="T53" s="45"/>
      <c r="U53" s="45"/>
      <c r="V53" s="17"/>
    </row>
    <row r="54" spans="1:22" x14ac:dyDescent="0.25">
      <c r="A54" s="3" t="s">
        <v>13</v>
      </c>
      <c r="B54" s="13" t="s">
        <v>43</v>
      </c>
      <c r="C54" s="3">
        <v>1</v>
      </c>
      <c r="D54" s="13">
        <v>981</v>
      </c>
      <c r="E54" s="3" t="s">
        <v>11</v>
      </c>
      <c r="F54" s="13">
        <v>605.40300000000002</v>
      </c>
      <c r="G54" s="13">
        <v>606.45600000000002</v>
      </c>
      <c r="H54" s="14">
        <f t="shared" si="0"/>
        <v>605.92949999999996</v>
      </c>
      <c r="I54" s="48">
        <f t="shared" ref="I54" si="89">AVERAGE(H54:H56)</f>
        <v>605.7116666666667</v>
      </c>
      <c r="J54" s="14">
        <v>505.1</v>
      </c>
      <c r="K54" s="49">
        <f t="shared" si="34"/>
        <v>505.4666666666667</v>
      </c>
      <c r="L54" s="45">
        <f t="shared" si="35"/>
        <v>7.6894779575890944</v>
      </c>
      <c r="M54" s="45">
        <f t="shared" ref="M54" si="90">2*SQRT(((1+43/I54)/2)^2+(1.32*STDEV(H54:H56)/SQRT(3))^2)</f>
        <v>1.5212631147960487</v>
      </c>
      <c r="N54" s="35">
        <v>605.16</v>
      </c>
      <c r="O54" s="13">
        <v>606.29499999999996</v>
      </c>
      <c r="P54" s="14">
        <f t="shared" si="1"/>
        <v>605.72749999999996</v>
      </c>
      <c r="Q54" s="48">
        <f t="shared" ref="Q54" si="91">AVERAGE(P54:P56)</f>
        <v>605.54483333333337</v>
      </c>
      <c r="R54" s="14">
        <v>505.4</v>
      </c>
      <c r="S54" s="49">
        <f t="shared" si="82"/>
        <v>505.73333333333329</v>
      </c>
      <c r="T54" s="45">
        <f t="shared" si="83"/>
        <v>8.9550389727279018</v>
      </c>
      <c r="U54" s="45">
        <f t="shared" ref="U54" si="92">2*SQRT(((1+43/Q54)/2)^2+(1.32*STDEV(P54:P56)/SQRT(3))^2)</f>
        <v>1.7707037251637032</v>
      </c>
      <c r="V54" s="3"/>
    </row>
    <row r="55" spans="1:22" x14ac:dyDescent="0.25">
      <c r="A55" s="15" t="s">
        <v>13</v>
      </c>
      <c r="B55" t="s">
        <v>43</v>
      </c>
      <c r="C55" s="15">
        <v>2</v>
      </c>
      <c r="D55">
        <v>981</v>
      </c>
      <c r="E55" s="15" t="s">
        <v>11</v>
      </c>
      <c r="F55">
        <v>605.952</v>
      </c>
      <c r="G55" s="16">
        <v>606.62</v>
      </c>
      <c r="H55" s="16">
        <f t="shared" si="0"/>
        <v>606.28600000000006</v>
      </c>
      <c r="I55" s="48"/>
      <c r="J55" s="16">
        <v>504.5</v>
      </c>
      <c r="K55" s="49"/>
      <c r="L55" s="45"/>
      <c r="M55" s="45"/>
      <c r="N55" s="33">
        <v>606.08799999999997</v>
      </c>
      <c r="O55">
        <v>606.64200000000005</v>
      </c>
      <c r="P55" s="16">
        <f t="shared" si="1"/>
        <v>606.36500000000001</v>
      </c>
      <c r="Q55" s="48"/>
      <c r="R55" s="16">
        <v>504.4</v>
      </c>
      <c r="S55" s="49"/>
      <c r="T55" s="45"/>
      <c r="U55" s="45"/>
      <c r="V55" s="15"/>
    </row>
    <row r="56" spans="1:22" x14ac:dyDescent="0.25">
      <c r="A56" s="17" t="s">
        <v>13</v>
      </c>
      <c r="B56" s="18" t="s">
        <v>43</v>
      </c>
      <c r="C56" s="17">
        <v>3</v>
      </c>
      <c r="D56" s="18">
        <v>981</v>
      </c>
      <c r="E56" s="17" t="s">
        <v>11</v>
      </c>
      <c r="F56" s="18">
        <v>604.529</v>
      </c>
      <c r="G56" s="19">
        <v>605.30999999999995</v>
      </c>
      <c r="H56" s="19">
        <f t="shared" si="0"/>
        <v>604.91949999999997</v>
      </c>
      <c r="I56" s="48"/>
      <c r="J56" s="19">
        <v>506.8</v>
      </c>
      <c r="K56" s="49"/>
      <c r="L56" s="45"/>
      <c r="M56" s="45"/>
      <c r="N56" s="34">
        <v>604.14200000000005</v>
      </c>
      <c r="O56" s="18">
        <v>604.94200000000001</v>
      </c>
      <c r="P56" s="19">
        <f t="shared" si="1"/>
        <v>604.54200000000003</v>
      </c>
      <c r="Q56" s="48"/>
      <c r="R56" s="19">
        <v>507.4</v>
      </c>
      <c r="S56" s="49"/>
      <c r="T56" s="45"/>
      <c r="U56" s="45"/>
      <c r="V56" s="17"/>
    </row>
    <row r="57" spans="1:22" x14ac:dyDescent="0.25">
      <c r="A57" s="3" t="s">
        <v>14</v>
      </c>
      <c r="B57" s="13" t="s">
        <v>43</v>
      </c>
      <c r="C57" s="3">
        <v>1</v>
      </c>
      <c r="D57" s="13">
        <v>981</v>
      </c>
      <c r="E57" s="3" t="s">
        <v>11</v>
      </c>
      <c r="F57" s="13">
        <v>511.01600000000002</v>
      </c>
      <c r="G57" s="13">
        <v>511.678</v>
      </c>
      <c r="H57" s="14">
        <f t="shared" si="0"/>
        <v>511.34699999999998</v>
      </c>
      <c r="I57" s="48">
        <f t="shared" ref="I57" si="93">AVERAGE(H57:H59)</f>
        <v>511.2326666666666</v>
      </c>
      <c r="J57" s="14">
        <v>709.2</v>
      </c>
      <c r="K57" s="49">
        <f t="shared" si="34"/>
        <v>709.53333333333342</v>
      </c>
      <c r="L57" s="45">
        <f t="shared" si="35"/>
        <v>8.5268547131490529</v>
      </c>
      <c r="M57" s="45">
        <f t="shared" ref="M57" si="94">2*SQRT(((1+43/I57)/2)^2+(1.32*STDEV(H57:H59)/SQRT(3))^2)</f>
        <v>1.2017553386943134</v>
      </c>
      <c r="N57" s="32">
        <v>511.31099999999998</v>
      </c>
      <c r="O57" s="13">
        <v>511.27300000000002</v>
      </c>
      <c r="P57" s="14">
        <f t="shared" si="1"/>
        <v>511.29200000000003</v>
      </c>
      <c r="Q57" s="48">
        <f t="shared" ref="Q57" si="95">AVERAGE(P57:P59)</f>
        <v>511.089</v>
      </c>
      <c r="R57" s="14">
        <v>709.4</v>
      </c>
      <c r="S57" s="49">
        <f t="shared" si="82"/>
        <v>709.96666666666658</v>
      </c>
      <c r="T57" s="45">
        <f t="shared" si="83"/>
        <v>8.7636121963973785</v>
      </c>
      <c r="U57" s="45">
        <f t="shared" ref="U57" si="96">2*SQRT(((1+43/Q57)/2)^2+(1.32*STDEV(P57:P59)/SQRT(3))^2)</f>
        <v>1.2343695285784373</v>
      </c>
      <c r="V57" s="3"/>
    </row>
    <row r="58" spans="1:22" x14ac:dyDescent="0.25">
      <c r="A58" s="15" t="s">
        <v>14</v>
      </c>
      <c r="B58" t="s">
        <v>43</v>
      </c>
      <c r="C58" s="15">
        <v>2</v>
      </c>
      <c r="D58">
        <v>981</v>
      </c>
      <c r="E58" s="15" t="s">
        <v>11</v>
      </c>
      <c r="F58">
        <v>510.923</v>
      </c>
      <c r="G58">
        <v>510.77699999999999</v>
      </c>
      <c r="H58" s="16">
        <f t="shared" si="0"/>
        <v>510.85</v>
      </c>
      <c r="I58" s="48"/>
      <c r="J58" s="16">
        <v>710.6</v>
      </c>
      <c r="K58" s="49"/>
      <c r="L58" s="45"/>
      <c r="M58" s="45"/>
      <c r="N58" s="33">
        <v>510.81799999999998</v>
      </c>
      <c r="O58">
        <v>510.46699999999998</v>
      </c>
      <c r="P58" s="16">
        <f t="shared" si="1"/>
        <v>510.64249999999998</v>
      </c>
      <c r="Q58" s="48"/>
      <c r="R58" s="16">
        <v>711.2</v>
      </c>
      <c r="S58" s="49"/>
      <c r="T58" s="45"/>
      <c r="U58" s="45"/>
      <c r="V58" s="15"/>
    </row>
    <row r="59" spans="1:22" x14ac:dyDescent="0.25">
      <c r="A59" s="17" t="s">
        <v>14</v>
      </c>
      <c r="B59" s="18" t="s">
        <v>43</v>
      </c>
      <c r="C59" s="17">
        <v>3</v>
      </c>
      <c r="D59" s="18">
        <v>981</v>
      </c>
      <c r="E59" s="17" t="s">
        <v>11</v>
      </c>
      <c r="F59" s="18">
        <v>511.452</v>
      </c>
      <c r="G59" s="19">
        <v>511.55</v>
      </c>
      <c r="H59" s="19">
        <f t="shared" si="0"/>
        <v>511.50099999999998</v>
      </c>
      <c r="I59" s="48"/>
      <c r="J59" s="19">
        <v>708.8</v>
      </c>
      <c r="K59" s="49"/>
      <c r="L59" s="45"/>
      <c r="M59" s="45"/>
      <c r="N59" s="34">
        <v>511.35700000000003</v>
      </c>
      <c r="O59" s="18">
        <v>511.30799999999999</v>
      </c>
      <c r="P59" s="19">
        <f t="shared" si="1"/>
        <v>511.33249999999998</v>
      </c>
      <c r="Q59" s="48"/>
      <c r="R59" s="19">
        <v>709.3</v>
      </c>
      <c r="S59" s="49"/>
      <c r="T59" s="45"/>
      <c r="U59" s="45"/>
      <c r="V59" s="17"/>
    </row>
    <row r="60" spans="1:22" x14ac:dyDescent="0.25">
      <c r="A60" s="3" t="s">
        <v>16</v>
      </c>
      <c r="B60" s="13" t="s">
        <v>43</v>
      </c>
      <c r="C60" s="3">
        <v>1</v>
      </c>
      <c r="D60" s="13">
        <v>981</v>
      </c>
      <c r="E60" s="3" t="s">
        <v>11</v>
      </c>
      <c r="F60" s="13">
        <v>455.89299999999997</v>
      </c>
      <c r="G60" s="13">
        <v>456.19400000000002</v>
      </c>
      <c r="H60" s="14">
        <f t="shared" si="0"/>
        <v>456.04349999999999</v>
      </c>
      <c r="I60" s="48">
        <f t="shared" ref="I60" si="97">AVERAGE(H60:H62)</f>
        <v>456.06749999999994</v>
      </c>
      <c r="J60" s="14">
        <v>891.7</v>
      </c>
      <c r="K60" s="49">
        <f t="shared" si="34"/>
        <v>891.6</v>
      </c>
      <c r="L60" s="45">
        <f t="shared" si="35"/>
        <v>10.001462902678426</v>
      </c>
      <c r="M60" s="45">
        <f t="shared" ref="M60" si="98">2*SQRT(((1+43/I60)/2)^2+(1.32*STDEV(H60:H62)/SQRT(3))^2)</f>
        <v>1.1217432596095138</v>
      </c>
      <c r="N60" s="32">
        <v>455.91500000000002</v>
      </c>
      <c r="O60" s="13">
        <v>456.25400000000002</v>
      </c>
      <c r="P60" s="14">
        <f t="shared" si="1"/>
        <v>456.08450000000005</v>
      </c>
      <c r="Q60" s="48">
        <f t="shared" ref="Q60" si="99">AVERAGE(P60:P62)</f>
        <v>455.91766666666672</v>
      </c>
      <c r="R60" s="14">
        <v>891.5</v>
      </c>
      <c r="S60" s="49">
        <f t="shared" si="82"/>
        <v>892.16666666666663</v>
      </c>
      <c r="T60" s="45">
        <f t="shared" si="83"/>
        <v>10.025307036011423</v>
      </c>
      <c r="U60" s="45">
        <f t="shared" ref="U60" si="100">2*SQRT(((1+43/Q60)/2)^2+(1.32*STDEV(P60:P62)/SQRT(3))^2)</f>
        <v>1.1237033853179252</v>
      </c>
      <c r="V60" s="3"/>
    </row>
    <row r="61" spans="1:22" x14ac:dyDescent="0.25">
      <c r="A61" s="15" t="s">
        <v>16</v>
      </c>
      <c r="B61" t="s">
        <v>43</v>
      </c>
      <c r="C61" s="15">
        <v>2</v>
      </c>
      <c r="D61">
        <v>981</v>
      </c>
      <c r="E61" s="15" t="s">
        <v>11</v>
      </c>
      <c r="F61">
        <v>455.81799999999998</v>
      </c>
      <c r="G61" s="16">
        <v>456.02</v>
      </c>
      <c r="H61" s="16">
        <f t="shared" si="0"/>
        <v>455.91899999999998</v>
      </c>
      <c r="I61" s="48"/>
      <c r="J61" s="16">
        <v>892.2</v>
      </c>
      <c r="K61" s="49"/>
      <c r="L61" s="45"/>
      <c r="M61" s="45"/>
      <c r="N61" s="33">
        <v>456.00900000000001</v>
      </c>
      <c r="O61" s="16">
        <v>455.49</v>
      </c>
      <c r="P61" s="16">
        <f t="shared" si="1"/>
        <v>455.74950000000001</v>
      </c>
      <c r="Q61" s="48"/>
      <c r="R61" s="16">
        <v>892.8</v>
      </c>
      <c r="S61" s="49"/>
      <c r="T61" s="45"/>
      <c r="U61" s="45"/>
      <c r="V61" s="15"/>
    </row>
    <row r="62" spans="1:22" x14ac:dyDescent="0.25">
      <c r="A62" s="17" t="s">
        <v>16</v>
      </c>
      <c r="B62" s="18" t="s">
        <v>43</v>
      </c>
      <c r="C62" s="17">
        <v>3</v>
      </c>
      <c r="D62" s="18">
        <v>981</v>
      </c>
      <c r="E62" s="17" t="s">
        <v>11</v>
      </c>
      <c r="F62" s="18">
        <v>456.12599999999998</v>
      </c>
      <c r="G62" s="18">
        <v>456.35399999999998</v>
      </c>
      <c r="H62" s="19">
        <f t="shared" si="0"/>
        <v>456.24</v>
      </c>
      <c r="I62" s="48"/>
      <c r="J62" s="19">
        <v>890.9</v>
      </c>
      <c r="K62" s="49"/>
      <c r="L62" s="45"/>
      <c r="M62" s="45"/>
      <c r="N62" s="34">
        <v>455.60700000000003</v>
      </c>
      <c r="O62" s="18">
        <v>456.23099999999999</v>
      </c>
      <c r="P62" s="19">
        <f t="shared" si="1"/>
        <v>455.91899999999998</v>
      </c>
      <c r="Q62" s="48"/>
      <c r="R62" s="19">
        <v>892.2</v>
      </c>
      <c r="S62" s="49"/>
      <c r="T62" s="45"/>
      <c r="U62" s="45"/>
      <c r="V62" s="17"/>
    </row>
    <row r="67" spans="5:6" x14ac:dyDescent="0.25">
      <c r="F67" t="s">
        <v>54</v>
      </c>
    </row>
    <row r="68" spans="5:6" x14ac:dyDescent="0.25">
      <c r="E68" t="s">
        <v>55</v>
      </c>
      <c r="F68" t="s">
        <v>56</v>
      </c>
    </row>
  </sheetData>
  <mergeCells count="168">
    <mergeCell ref="A1:A2"/>
    <mergeCell ref="B1:B2"/>
    <mergeCell ref="C1:C2"/>
    <mergeCell ref="D1:D2"/>
    <mergeCell ref="E1:E2"/>
    <mergeCell ref="V1:V2"/>
    <mergeCell ref="I12:I14"/>
    <mergeCell ref="I9:I11"/>
    <mergeCell ref="I6:I8"/>
    <mergeCell ref="I3:I5"/>
    <mergeCell ref="N1:U1"/>
    <mergeCell ref="T12:T14"/>
    <mergeCell ref="U12:U14"/>
    <mergeCell ref="T3:T5"/>
    <mergeCell ref="U3:U5"/>
    <mergeCell ref="T6:T8"/>
    <mergeCell ref="U6:U8"/>
    <mergeCell ref="T9:T11"/>
    <mergeCell ref="U9:U11"/>
    <mergeCell ref="I33:I35"/>
    <mergeCell ref="I36:I38"/>
    <mergeCell ref="I30:I32"/>
    <mergeCell ref="I27:I29"/>
    <mergeCell ref="I24:I26"/>
    <mergeCell ref="I21:I23"/>
    <mergeCell ref="I18:I20"/>
    <mergeCell ref="I15:I17"/>
    <mergeCell ref="K15:K17"/>
    <mergeCell ref="K18:K20"/>
    <mergeCell ref="K21:K23"/>
    <mergeCell ref="I39:I41"/>
    <mergeCell ref="I42:I44"/>
    <mergeCell ref="I45:I47"/>
    <mergeCell ref="I48:I50"/>
    <mergeCell ref="I51:I53"/>
    <mergeCell ref="I54:I56"/>
    <mergeCell ref="K60:K62"/>
    <mergeCell ref="F1:M1"/>
    <mergeCell ref="M3:M5"/>
    <mergeCell ref="L3:L5"/>
    <mergeCell ref="L6:L8"/>
    <mergeCell ref="M6:M8"/>
    <mergeCell ref="K42:K44"/>
    <mergeCell ref="K45:K47"/>
    <mergeCell ref="K48:K50"/>
    <mergeCell ref="K51:K53"/>
    <mergeCell ref="K54:K56"/>
    <mergeCell ref="K57:K59"/>
    <mergeCell ref="K24:K26"/>
    <mergeCell ref="K27:K29"/>
    <mergeCell ref="K30:K32"/>
    <mergeCell ref="K33:K35"/>
    <mergeCell ref="K36:K38"/>
    <mergeCell ref="K39:K41"/>
    <mergeCell ref="I57:I59"/>
    <mergeCell ref="I60:I62"/>
    <mergeCell ref="K3:K5"/>
    <mergeCell ref="K6:K8"/>
    <mergeCell ref="K9:K11"/>
    <mergeCell ref="K12:K14"/>
    <mergeCell ref="L18:L20"/>
    <mergeCell ref="M18:M20"/>
    <mergeCell ref="L21:L23"/>
    <mergeCell ref="M21:M23"/>
    <mergeCell ref="L24:L26"/>
    <mergeCell ref="M24:M26"/>
    <mergeCell ref="L9:L11"/>
    <mergeCell ref="M9:M11"/>
    <mergeCell ref="L12:L14"/>
    <mergeCell ref="M12:M14"/>
    <mergeCell ref="L15:L17"/>
    <mergeCell ref="M15:M17"/>
    <mergeCell ref="L36:L38"/>
    <mergeCell ref="M36:M38"/>
    <mergeCell ref="L39:L41"/>
    <mergeCell ref="M39:M41"/>
    <mergeCell ref="L42:L44"/>
    <mergeCell ref="M42:M44"/>
    <mergeCell ref="L27:L29"/>
    <mergeCell ref="M27:M29"/>
    <mergeCell ref="L30:L32"/>
    <mergeCell ref="M30:M32"/>
    <mergeCell ref="L33:L35"/>
    <mergeCell ref="M33:M35"/>
    <mergeCell ref="L54:L56"/>
    <mergeCell ref="M54:M56"/>
    <mergeCell ref="L57:L59"/>
    <mergeCell ref="M57:M59"/>
    <mergeCell ref="L60:L62"/>
    <mergeCell ref="M60:M62"/>
    <mergeCell ref="L45:L47"/>
    <mergeCell ref="M45:M47"/>
    <mergeCell ref="L48:L50"/>
    <mergeCell ref="M48:M50"/>
    <mergeCell ref="L51:L53"/>
    <mergeCell ref="M51:M53"/>
    <mergeCell ref="S3:S5"/>
    <mergeCell ref="S6:S8"/>
    <mergeCell ref="S9:S11"/>
    <mergeCell ref="S12:S14"/>
    <mergeCell ref="S15:S17"/>
    <mergeCell ref="Q3:Q5"/>
    <mergeCell ref="Q6:Q8"/>
    <mergeCell ref="Q9:Q11"/>
    <mergeCell ref="Q12:Q14"/>
    <mergeCell ref="Q15:Q17"/>
    <mergeCell ref="Q54:Q56"/>
    <mergeCell ref="S54:S56"/>
    <mergeCell ref="Q57:Q59"/>
    <mergeCell ref="S57:S59"/>
    <mergeCell ref="Q60:Q62"/>
    <mergeCell ref="S60:S62"/>
    <mergeCell ref="T15:T17"/>
    <mergeCell ref="U15:U17"/>
    <mergeCell ref="Q36:Q38"/>
    <mergeCell ref="S36:S38"/>
    <mergeCell ref="Q39:Q41"/>
    <mergeCell ref="S39:S41"/>
    <mergeCell ref="Q42:Q44"/>
    <mergeCell ref="S42:S44"/>
    <mergeCell ref="S18:S20"/>
    <mergeCell ref="S21:S23"/>
    <mergeCell ref="S24:S26"/>
    <mergeCell ref="S27:S29"/>
    <mergeCell ref="S30:S32"/>
    <mergeCell ref="Q33:Q35"/>
    <mergeCell ref="S33:S35"/>
    <mergeCell ref="Q18:Q20"/>
    <mergeCell ref="Q21:Q23"/>
    <mergeCell ref="Q24:Q26"/>
    <mergeCell ref="Q27:Q29"/>
    <mergeCell ref="Q30:Q32"/>
    <mergeCell ref="Q45:Q47"/>
    <mergeCell ref="S45:S47"/>
    <mergeCell ref="Q48:Q50"/>
    <mergeCell ref="S48:S50"/>
    <mergeCell ref="Q51:Q53"/>
    <mergeCell ref="S51:S53"/>
    <mergeCell ref="T18:T20"/>
    <mergeCell ref="U18:U20"/>
    <mergeCell ref="T21:T23"/>
    <mergeCell ref="U21:U23"/>
    <mergeCell ref="T24:T26"/>
    <mergeCell ref="U24:U26"/>
    <mergeCell ref="T36:T38"/>
    <mergeCell ref="U36:U38"/>
    <mergeCell ref="T39:T41"/>
    <mergeCell ref="U39:U41"/>
    <mergeCell ref="T42:T44"/>
    <mergeCell ref="U42:U44"/>
    <mergeCell ref="T27:T29"/>
    <mergeCell ref="U27:U29"/>
    <mergeCell ref="T30:T32"/>
    <mergeCell ref="U30:U32"/>
    <mergeCell ref="T33:T35"/>
    <mergeCell ref="U33:U35"/>
    <mergeCell ref="T54:T56"/>
    <mergeCell ref="U54:U56"/>
    <mergeCell ref="T57:T59"/>
    <mergeCell ref="U57:U59"/>
    <mergeCell ref="T60:T62"/>
    <mergeCell ref="U60:U62"/>
    <mergeCell ref="T45:T47"/>
    <mergeCell ref="U45:U47"/>
    <mergeCell ref="T48:T50"/>
    <mergeCell ref="U48:U50"/>
    <mergeCell ref="T51:T53"/>
    <mergeCell ref="U51:U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61A5-3063-4ED4-B986-48287C26836D}">
  <dimension ref="A1:V60"/>
  <sheetViews>
    <sheetView zoomScale="80" zoomScaleNormal="80" workbookViewId="0">
      <selection activeCell="U51" sqref="U51:U53"/>
    </sheetView>
  </sheetViews>
  <sheetFormatPr defaultRowHeight="15" x14ac:dyDescent="0.25"/>
  <cols>
    <col min="2" max="2" width="11.85546875" customWidth="1"/>
    <col min="5" max="5" width="16" customWidth="1"/>
    <col min="8" max="8" width="13.140625" bestFit="1" customWidth="1"/>
    <col min="9" max="9" width="13.85546875" bestFit="1" customWidth="1"/>
    <col min="10" max="10" width="10.5703125" bestFit="1" customWidth="1"/>
    <col min="11" max="11" width="14.42578125" customWidth="1"/>
    <col min="12" max="12" width="20.28515625" bestFit="1" customWidth="1"/>
    <col min="13" max="13" width="21.7109375" bestFit="1" customWidth="1"/>
    <col min="15" max="15" width="7.85546875" bestFit="1" customWidth="1"/>
    <col min="16" max="17" width="13.85546875" bestFit="1" customWidth="1"/>
    <col min="18" max="18" width="10.5703125" bestFit="1" customWidth="1"/>
    <col min="19" max="19" width="14.42578125" customWidth="1"/>
    <col min="20" max="20" width="20.28515625" bestFit="1" customWidth="1"/>
    <col min="21" max="21" width="21.7109375" bestFit="1" customWidth="1"/>
    <col min="22" max="22" width="30.7109375" bestFit="1" customWidth="1"/>
  </cols>
  <sheetData>
    <row r="1" spans="1:22" ht="26.25" customHeight="1" x14ac:dyDescent="0.25">
      <c r="A1" s="51" t="s">
        <v>0</v>
      </c>
      <c r="B1" s="53" t="s">
        <v>57</v>
      </c>
      <c r="C1" s="51" t="s">
        <v>2</v>
      </c>
      <c r="D1" s="55" t="s">
        <v>3</v>
      </c>
      <c r="E1" s="51" t="s">
        <v>4</v>
      </c>
      <c r="F1" s="50" t="s">
        <v>5</v>
      </c>
      <c r="G1" s="50"/>
      <c r="H1" s="50"/>
      <c r="I1" s="50"/>
      <c r="J1" s="50"/>
      <c r="K1" s="50"/>
      <c r="L1" s="50"/>
      <c r="M1" s="50"/>
      <c r="N1" s="50" t="s">
        <v>20</v>
      </c>
      <c r="O1" s="50"/>
      <c r="P1" s="50"/>
      <c r="Q1" s="50"/>
      <c r="R1" s="50"/>
      <c r="S1" s="50"/>
      <c r="T1" s="50"/>
      <c r="U1" s="50"/>
      <c r="V1" s="52" t="s">
        <v>39</v>
      </c>
    </row>
    <row r="2" spans="1:22" ht="30" x14ac:dyDescent="0.25">
      <c r="A2" s="52"/>
      <c r="B2" s="54"/>
      <c r="C2" s="52"/>
      <c r="D2" s="56"/>
      <c r="E2" s="52"/>
      <c r="F2" s="2" t="s">
        <v>6</v>
      </c>
      <c r="G2" s="2" t="s">
        <v>7</v>
      </c>
      <c r="H2" s="20" t="s">
        <v>8</v>
      </c>
      <c r="I2" s="20" t="s">
        <v>8</v>
      </c>
      <c r="J2" s="2" t="s">
        <v>9</v>
      </c>
      <c r="K2" s="1" t="s">
        <v>17</v>
      </c>
      <c r="L2" s="1" t="s">
        <v>18</v>
      </c>
      <c r="M2" s="1" t="s">
        <v>19</v>
      </c>
      <c r="N2" s="2" t="s">
        <v>6</v>
      </c>
      <c r="O2" s="2" t="s">
        <v>7</v>
      </c>
      <c r="P2" s="20" t="s">
        <v>8</v>
      </c>
      <c r="Q2" s="20" t="s">
        <v>8</v>
      </c>
      <c r="R2" s="2" t="s">
        <v>9</v>
      </c>
      <c r="S2" s="1" t="s">
        <v>17</v>
      </c>
      <c r="T2" s="1" t="s">
        <v>18</v>
      </c>
      <c r="U2" s="1" t="s">
        <v>19</v>
      </c>
      <c r="V2" s="57"/>
    </row>
    <row r="3" spans="1:22" x14ac:dyDescent="0.25">
      <c r="A3" s="4" t="s">
        <v>21</v>
      </c>
      <c r="B3" s="5" t="s">
        <v>44</v>
      </c>
      <c r="C3" s="4">
        <v>1</v>
      </c>
      <c r="D3" s="5">
        <v>0.49049999999999999</v>
      </c>
      <c r="E3" s="4" t="s">
        <v>15</v>
      </c>
      <c r="F3" s="6">
        <v>44.878</v>
      </c>
      <c r="G3" s="6">
        <v>43.552</v>
      </c>
      <c r="H3" s="6">
        <f>(F3+G3)/2</f>
        <v>44.215000000000003</v>
      </c>
      <c r="I3" s="47">
        <f t="shared" ref="I3" si="0">AVERAGE(H3:H5)</f>
        <v>43.335833333333333</v>
      </c>
      <c r="J3" s="6">
        <v>47.417999999999999</v>
      </c>
      <c r="K3" s="47">
        <f t="shared" ref="K3" si="1">AVERAGE(J3:J5)</f>
        <v>49.418666666666667</v>
      </c>
      <c r="L3" s="46">
        <f>+M3*K3/100</f>
        <v>1.0646900322102812</v>
      </c>
      <c r="M3" s="46">
        <f>2*SQRT(((1+20/I3)/2)^2+(1.32*STDEV(H3:H5)/SQRT(3))^2)</f>
        <v>2.1544288909931764</v>
      </c>
      <c r="N3" s="31">
        <v>44.954000000000001</v>
      </c>
      <c r="O3" s="6">
        <v>43.802</v>
      </c>
      <c r="P3" s="6">
        <f>(N3+O3)/2</f>
        <v>44.378</v>
      </c>
      <c r="Q3" s="47">
        <f t="shared" ref="Q3" si="2">AVERAGE(P3:P5)</f>
        <v>43.472333333333331</v>
      </c>
      <c r="R3" s="37">
        <v>47.07</v>
      </c>
      <c r="S3" s="47">
        <f t="shared" ref="S3" si="3">AVERAGE(R3:R5)</f>
        <v>49.107333333333337</v>
      </c>
      <c r="T3" s="46">
        <f>+U3*S3/100</f>
        <v>1.0534964183369611</v>
      </c>
      <c r="U3" s="46">
        <f>2*SQRT(((1+20/Q3)/2)^2+(1.32*STDEV(P3:P5)/SQRT(3))^2)</f>
        <v>2.1452934762023887</v>
      </c>
      <c r="V3" s="4" t="s">
        <v>85</v>
      </c>
    </row>
    <row r="4" spans="1:22" x14ac:dyDescent="0.25">
      <c r="A4" s="7" t="s">
        <v>21</v>
      </c>
      <c r="B4" s="8" t="s">
        <v>44</v>
      </c>
      <c r="C4" s="7">
        <v>2</v>
      </c>
      <c r="D4" s="8">
        <v>0.49049999999999999</v>
      </c>
      <c r="E4" s="7" t="s">
        <v>15</v>
      </c>
      <c r="F4" s="9">
        <v>43.978000000000002</v>
      </c>
      <c r="G4" s="9">
        <v>43.226999999999997</v>
      </c>
      <c r="H4" s="9">
        <f t="shared" ref="H4:H56" si="4">(F4+G4)/2</f>
        <v>43.602499999999999</v>
      </c>
      <c r="I4" s="47"/>
      <c r="J4" s="9">
        <v>48.759</v>
      </c>
      <c r="K4" s="47"/>
      <c r="L4" s="46"/>
      <c r="M4" s="46"/>
      <c r="N4" s="43">
        <v>43.997</v>
      </c>
      <c r="O4" s="9">
        <v>43.381</v>
      </c>
      <c r="P4" s="9">
        <f t="shared" ref="P4:P56" si="5">(N4+O4)/2</f>
        <v>43.689</v>
      </c>
      <c r="Q4" s="47"/>
      <c r="R4" s="36">
        <v>48.566000000000003</v>
      </c>
      <c r="S4" s="47"/>
      <c r="T4" s="46"/>
      <c r="U4" s="46"/>
      <c r="V4" s="7"/>
    </row>
    <row r="5" spans="1:22" x14ac:dyDescent="0.25">
      <c r="A5" s="10" t="s">
        <v>21</v>
      </c>
      <c r="B5" s="11" t="s">
        <v>44</v>
      </c>
      <c r="C5" s="10">
        <v>3</v>
      </c>
      <c r="D5" s="11">
        <v>0.49049999999999999</v>
      </c>
      <c r="E5" s="10" t="s">
        <v>15</v>
      </c>
      <c r="F5" s="12">
        <v>42.363999999999997</v>
      </c>
      <c r="G5" s="12">
        <v>42.015999999999998</v>
      </c>
      <c r="H5" s="12">
        <f t="shared" si="4"/>
        <v>42.19</v>
      </c>
      <c r="I5" s="47"/>
      <c r="J5" s="12">
        <v>52.079000000000001</v>
      </c>
      <c r="K5" s="47"/>
      <c r="L5" s="46"/>
      <c r="M5" s="46"/>
      <c r="N5" s="30">
        <v>42.393000000000001</v>
      </c>
      <c r="O5" s="12">
        <v>42.307000000000002</v>
      </c>
      <c r="P5" s="9">
        <f t="shared" si="5"/>
        <v>42.35</v>
      </c>
      <c r="Q5" s="47"/>
      <c r="R5" s="41">
        <v>51.686</v>
      </c>
      <c r="S5" s="47"/>
      <c r="T5" s="46"/>
      <c r="U5" s="46"/>
      <c r="V5" s="10"/>
    </row>
    <row r="6" spans="1:22" x14ac:dyDescent="0.25">
      <c r="A6" s="4" t="s">
        <v>22</v>
      </c>
      <c r="B6" s="5" t="s">
        <v>44</v>
      </c>
      <c r="C6" s="4">
        <v>1</v>
      </c>
      <c r="D6" s="5">
        <v>0.49049999999999999</v>
      </c>
      <c r="E6" s="4" t="s">
        <v>15</v>
      </c>
      <c r="F6" s="6">
        <v>28.754000000000001</v>
      </c>
      <c r="G6" s="6">
        <v>28.431000000000001</v>
      </c>
      <c r="H6" s="6">
        <f t="shared" si="4"/>
        <v>28.592500000000001</v>
      </c>
      <c r="I6" s="47">
        <f t="shared" ref="I6" si="6">AVERAGE(H6:H8)</f>
        <v>28.764166666666664</v>
      </c>
      <c r="J6" s="6">
        <v>113.39</v>
      </c>
      <c r="K6" s="47">
        <f t="shared" ref="K6" si="7">AVERAGE(J6:J8)</f>
        <v>112.06099999999999</v>
      </c>
      <c r="L6" s="46">
        <f t="shared" ref="L6" si="8">+M6*K6/100</f>
        <v>1.9573838084939867</v>
      </c>
      <c r="M6" s="46">
        <f t="shared" ref="M6" si="9">2*SQRT(((1+20/I6)/2)^2+(1.32*STDEV(H6:H8)/SQRT(3))^2)</f>
        <v>1.7467127800876192</v>
      </c>
      <c r="N6" s="31">
        <v>28.748000000000001</v>
      </c>
      <c r="O6" s="6">
        <v>28.501000000000001</v>
      </c>
      <c r="P6" s="6">
        <f t="shared" si="5"/>
        <v>28.624500000000001</v>
      </c>
      <c r="Q6" s="47">
        <f t="shared" ref="Q6" si="10">AVERAGE(P6:P8)</f>
        <v>28.830666666666669</v>
      </c>
      <c r="R6" s="37">
        <v>113.14100000000001</v>
      </c>
      <c r="S6" s="47">
        <f t="shared" ref="S6" si="11">AVERAGE(R6:R8)</f>
        <v>111.551</v>
      </c>
      <c r="T6" s="46">
        <f t="shared" ref="T6" si="12">+U6*S6/100</f>
        <v>1.9568708117116997</v>
      </c>
      <c r="U6" s="46">
        <f t="shared" ref="U6" si="13">2*SQRT(((1+20/Q6)/2)^2+(1.32*STDEV(P6:P8)/SQRT(3))^2)</f>
        <v>1.7542386995290942</v>
      </c>
      <c r="V6" s="4" t="s">
        <v>87</v>
      </c>
    </row>
    <row r="7" spans="1:22" x14ac:dyDescent="0.25">
      <c r="A7" s="7" t="s">
        <v>22</v>
      </c>
      <c r="B7" s="8" t="s">
        <v>44</v>
      </c>
      <c r="C7" s="7">
        <v>2</v>
      </c>
      <c r="D7" s="8">
        <v>0.49049999999999999</v>
      </c>
      <c r="E7" s="7" t="s">
        <v>15</v>
      </c>
      <c r="F7" s="9">
        <v>29.202999999999999</v>
      </c>
      <c r="G7" s="9">
        <v>28.962</v>
      </c>
      <c r="H7" s="9">
        <f t="shared" si="4"/>
        <v>29.0825</v>
      </c>
      <c r="I7" s="47"/>
      <c r="J7" s="9">
        <v>109.601</v>
      </c>
      <c r="K7" s="47"/>
      <c r="L7" s="46"/>
      <c r="M7" s="46"/>
      <c r="N7" s="43">
        <v>29.39</v>
      </c>
      <c r="O7" s="9">
        <v>28.959</v>
      </c>
      <c r="P7" s="9">
        <f t="shared" si="5"/>
        <v>29.174500000000002</v>
      </c>
      <c r="Q7" s="47"/>
      <c r="R7" s="36">
        <v>108.91500000000001</v>
      </c>
      <c r="S7" s="47"/>
      <c r="T7" s="46"/>
      <c r="U7" s="46"/>
      <c r="V7" s="7"/>
    </row>
    <row r="8" spans="1:22" x14ac:dyDescent="0.25">
      <c r="A8" s="10" t="s">
        <v>22</v>
      </c>
      <c r="B8" s="11" t="s">
        <v>44</v>
      </c>
      <c r="C8" s="10">
        <v>3</v>
      </c>
      <c r="D8" s="11">
        <v>0.49049999999999999</v>
      </c>
      <c r="E8" s="10" t="s">
        <v>15</v>
      </c>
      <c r="F8" s="12">
        <v>29.042000000000002</v>
      </c>
      <c r="G8" s="12">
        <v>28.193000000000001</v>
      </c>
      <c r="H8" s="12">
        <f t="shared" si="4"/>
        <v>28.6175</v>
      </c>
      <c r="I8" s="47"/>
      <c r="J8" s="12">
        <v>113.19199999999999</v>
      </c>
      <c r="K8" s="47"/>
      <c r="L8" s="46"/>
      <c r="M8" s="46"/>
      <c r="N8" s="30">
        <v>29.242999999999999</v>
      </c>
      <c r="O8" s="12">
        <v>28.143000000000001</v>
      </c>
      <c r="P8" s="9">
        <f t="shared" si="5"/>
        <v>28.692999999999998</v>
      </c>
      <c r="Q8" s="47"/>
      <c r="R8" s="41">
        <v>112.59699999999999</v>
      </c>
      <c r="S8" s="47"/>
      <c r="T8" s="46"/>
      <c r="U8" s="46"/>
      <c r="V8" s="10"/>
    </row>
    <row r="9" spans="1:22" x14ac:dyDescent="0.25">
      <c r="A9" s="4" t="s">
        <v>23</v>
      </c>
      <c r="B9" s="5" t="s">
        <v>44</v>
      </c>
      <c r="C9" s="4">
        <v>1</v>
      </c>
      <c r="D9" s="5">
        <v>0.49049999999999999</v>
      </c>
      <c r="E9" s="4" t="s">
        <v>15</v>
      </c>
      <c r="F9" s="6">
        <v>20.888000000000002</v>
      </c>
      <c r="G9" s="6">
        <v>20.795999999999999</v>
      </c>
      <c r="H9" s="6">
        <f t="shared" si="4"/>
        <v>20.841999999999999</v>
      </c>
      <c r="I9" s="47">
        <f t="shared" ref="I9" si="14">AVERAGE(H9:H11)</f>
        <v>20.849166666666665</v>
      </c>
      <c r="J9" s="6">
        <v>217.33699999999999</v>
      </c>
      <c r="K9" s="47">
        <f t="shared" ref="K9" si="15">AVERAGE(J9:J11)</f>
        <v>214.57599999999999</v>
      </c>
      <c r="L9" s="46">
        <f t="shared" ref="L9" si="16">+M9*K9/100</f>
        <v>4.2145232474190433</v>
      </c>
      <c r="M9" s="46">
        <f t="shared" ref="M9" si="17">2*SQRT(((1+20/I9)/2)^2+(1.32*STDEV(H9:H11)/SQRT(3))^2)</f>
        <v>1.9641167919147733</v>
      </c>
      <c r="N9" s="31">
        <v>20.920999999999999</v>
      </c>
      <c r="O9" s="6">
        <v>20.887</v>
      </c>
      <c r="P9" s="6">
        <f t="shared" si="5"/>
        <v>20.904</v>
      </c>
      <c r="Q9" s="47">
        <f t="shared" ref="Q9" si="18">AVERAGE(P9:P11)</f>
        <v>20.885666666666665</v>
      </c>
      <c r="R9" s="37">
        <v>212.13900000000001</v>
      </c>
      <c r="S9" s="47">
        <f t="shared" ref="S9" si="19">AVERAGE(R9:R11)</f>
        <v>212.53233333333333</v>
      </c>
      <c r="T9" s="46">
        <f t="shared" ref="T9" si="20">+U9*S9/100</f>
        <v>4.1870870613761557</v>
      </c>
      <c r="U9" s="46">
        <f t="shared" ref="U9" si="21">2*SQRT(((1+20/Q9)/2)^2+(1.32*STDEV(P9:P11)/SQRT(3))^2)</f>
        <v>1.9700941478909824</v>
      </c>
      <c r="V9" s="4" t="s">
        <v>86</v>
      </c>
    </row>
    <row r="10" spans="1:22" x14ac:dyDescent="0.25">
      <c r="A10" s="7" t="s">
        <v>23</v>
      </c>
      <c r="B10" s="8" t="s">
        <v>44</v>
      </c>
      <c r="C10" s="7">
        <v>2</v>
      </c>
      <c r="D10" s="8">
        <v>0.49049999999999999</v>
      </c>
      <c r="E10" s="7" t="s">
        <v>15</v>
      </c>
      <c r="F10" s="9">
        <v>20.584</v>
      </c>
      <c r="G10" s="9">
        <v>20.940999999999999</v>
      </c>
      <c r="H10" s="9">
        <f t="shared" si="4"/>
        <v>20.762499999999999</v>
      </c>
      <c r="I10" s="47"/>
      <c r="J10" s="9">
        <v>215.041</v>
      </c>
      <c r="K10" s="47"/>
      <c r="L10" s="46"/>
      <c r="M10" s="46"/>
      <c r="N10" s="43">
        <v>20.440999999999999</v>
      </c>
      <c r="O10" s="9">
        <v>21.023</v>
      </c>
      <c r="P10" s="9">
        <f t="shared" si="5"/>
        <v>20.731999999999999</v>
      </c>
      <c r="Q10" s="47"/>
      <c r="R10" s="36">
        <v>215.67400000000001</v>
      </c>
      <c r="S10" s="47"/>
      <c r="T10" s="46"/>
      <c r="U10" s="46"/>
      <c r="V10" s="7"/>
    </row>
    <row r="11" spans="1:22" x14ac:dyDescent="0.25">
      <c r="A11" s="10" t="s">
        <v>23</v>
      </c>
      <c r="B11" s="11" t="s">
        <v>44</v>
      </c>
      <c r="C11" s="10">
        <v>3</v>
      </c>
      <c r="D11" s="11">
        <v>0.49049999999999999</v>
      </c>
      <c r="E11" s="10" t="s">
        <v>15</v>
      </c>
      <c r="F11" s="12">
        <v>20.701000000000001</v>
      </c>
      <c r="G11" s="12">
        <v>21.184999999999999</v>
      </c>
      <c r="H11" s="12">
        <f t="shared" si="4"/>
        <v>20.942999999999998</v>
      </c>
      <c r="I11" s="47"/>
      <c r="J11" s="12">
        <v>211.35</v>
      </c>
      <c r="K11" s="47"/>
      <c r="L11" s="46"/>
      <c r="M11" s="46"/>
      <c r="N11" s="30">
        <v>20.762</v>
      </c>
      <c r="O11" s="12">
        <v>21.28</v>
      </c>
      <c r="P11" s="9">
        <f t="shared" si="5"/>
        <v>21.021000000000001</v>
      </c>
      <c r="Q11" s="47"/>
      <c r="R11" s="41">
        <v>209.78399999999999</v>
      </c>
      <c r="S11" s="47"/>
      <c r="T11" s="46"/>
      <c r="U11" s="46"/>
      <c r="V11" s="10"/>
    </row>
    <row r="12" spans="1:22" x14ac:dyDescent="0.25">
      <c r="A12" s="3" t="s">
        <v>22</v>
      </c>
      <c r="B12" s="13" t="s">
        <v>44</v>
      </c>
      <c r="C12" s="3">
        <v>1</v>
      </c>
      <c r="D12" s="13">
        <v>4.9050000000000002</v>
      </c>
      <c r="E12" s="3" t="s">
        <v>15</v>
      </c>
      <c r="F12" s="14">
        <v>94.576999999999998</v>
      </c>
      <c r="G12" s="14">
        <v>94.173000000000002</v>
      </c>
      <c r="H12" s="14">
        <f t="shared" si="4"/>
        <v>94.375</v>
      </c>
      <c r="I12" s="48">
        <f>AVERAGE(H12:H14)</f>
        <v>93.898333333333326</v>
      </c>
      <c r="J12" s="14">
        <v>104.08</v>
      </c>
      <c r="K12" s="49">
        <f t="shared" ref="K12:K54" si="22">AVERAGE(J12:J14)</f>
        <v>105.15033333333334</v>
      </c>
      <c r="L12" s="45">
        <f t="shared" ref="L12" si="23">+M12*K12/100</f>
        <v>1.6827683472631627</v>
      </c>
      <c r="M12" s="45">
        <f t="shared" ref="M12" si="24">2*SQRT(((1+20/I12)/2)^2+(1.32*STDEV(H12:H14)/SQRT(3))^2)</f>
        <v>1.6003452332658601</v>
      </c>
      <c r="N12" s="35">
        <v>94.668999999999997</v>
      </c>
      <c r="O12" s="14">
        <v>94.387</v>
      </c>
      <c r="P12" s="14">
        <f t="shared" si="5"/>
        <v>94.527999999999992</v>
      </c>
      <c r="Q12" s="48">
        <f>AVERAGE(P12:P14)</f>
        <v>94.04216666666666</v>
      </c>
      <c r="R12" s="38">
        <v>103.74299999999999</v>
      </c>
      <c r="S12" s="49">
        <f t="shared" ref="S12:S24" si="25">AVERAGE(R12:R14)</f>
        <v>104.827</v>
      </c>
      <c r="T12" s="45">
        <f t="shared" ref="T12" si="26">+U12*S12/100</f>
        <v>1.604722754804343</v>
      </c>
      <c r="U12" s="45">
        <f t="shared" ref="U12" si="27">2*SQRT(((1+20/Q12)/2)^2+(1.32*STDEV(P12:P14)/SQRT(3))^2)</f>
        <v>1.5308296095513017</v>
      </c>
      <c r="V12" s="3" t="s">
        <v>88</v>
      </c>
    </row>
    <row r="13" spans="1:22" x14ac:dyDescent="0.25">
      <c r="A13" s="15" t="s">
        <v>22</v>
      </c>
      <c r="B13" t="s">
        <v>44</v>
      </c>
      <c r="C13" s="15">
        <v>2</v>
      </c>
      <c r="D13">
        <v>4.9050000000000002</v>
      </c>
      <c r="E13" s="15" t="s">
        <v>15</v>
      </c>
      <c r="F13" s="16">
        <v>93.058000000000007</v>
      </c>
      <c r="G13" s="16">
        <v>93.168999999999997</v>
      </c>
      <c r="H13" s="16">
        <f t="shared" si="4"/>
        <v>93.113500000000002</v>
      </c>
      <c r="I13" s="48"/>
      <c r="J13" s="16">
        <v>106.919</v>
      </c>
      <c r="K13" s="49"/>
      <c r="L13" s="45"/>
      <c r="M13" s="45"/>
      <c r="N13" s="42">
        <v>93.436000000000007</v>
      </c>
      <c r="O13" s="16">
        <v>93.271000000000001</v>
      </c>
      <c r="P13" s="16">
        <f t="shared" si="5"/>
        <v>93.353499999999997</v>
      </c>
      <c r="Q13" s="48"/>
      <c r="R13" s="39">
        <v>106.371</v>
      </c>
      <c r="S13" s="49"/>
      <c r="T13" s="45"/>
      <c r="U13" s="45"/>
      <c r="V13" s="15"/>
    </row>
    <row r="14" spans="1:22" x14ac:dyDescent="0.25">
      <c r="A14" s="17" t="s">
        <v>22</v>
      </c>
      <c r="B14" s="18" t="s">
        <v>44</v>
      </c>
      <c r="C14" s="17">
        <v>3</v>
      </c>
      <c r="D14" s="18">
        <v>4.9050000000000002</v>
      </c>
      <c r="E14" s="17" t="s">
        <v>15</v>
      </c>
      <c r="F14" s="19">
        <v>94.391000000000005</v>
      </c>
      <c r="G14" s="19">
        <v>94.022000000000006</v>
      </c>
      <c r="H14" s="19">
        <f t="shared" si="4"/>
        <v>94.206500000000005</v>
      </c>
      <c r="I14" s="48"/>
      <c r="J14" s="19">
        <v>104.452</v>
      </c>
      <c r="K14" s="49"/>
      <c r="L14" s="45"/>
      <c r="M14" s="45"/>
      <c r="N14" s="44">
        <v>94.581000000000003</v>
      </c>
      <c r="O14" s="19">
        <v>93.909000000000006</v>
      </c>
      <c r="P14" s="16">
        <f t="shared" si="5"/>
        <v>94.245000000000005</v>
      </c>
      <c r="Q14" s="48"/>
      <c r="R14" s="40">
        <v>104.367</v>
      </c>
      <c r="S14" s="49"/>
      <c r="T14" s="45"/>
      <c r="U14" s="45"/>
      <c r="V14" s="17"/>
    </row>
    <row r="15" spans="1:22" x14ac:dyDescent="0.25">
      <c r="A15" s="3" t="s">
        <v>24</v>
      </c>
      <c r="B15" s="13" t="s">
        <v>44</v>
      </c>
      <c r="C15" s="3">
        <v>1</v>
      </c>
      <c r="D15" s="13">
        <v>4.9050000000000002</v>
      </c>
      <c r="E15" s="3" t="s">
        <v>15</v>
      </c>
      <c r="F15" s="14">
        <v>54.052999999999997</v>
      </c>
      <c r="G15" s="14">
        <v>53.972000000000001</v>
      </c>
      <c r="H15" s="14">
        <f t="shared" si="4"/>
        <v>54.012500000000003</v>
      </c>
      <c r="I15" s="48">
        <f t="shared" ref="I15" si="28">AVERAGE(H15:H17)</f>
        <v>53.956833333333329</v>
      </c>
      <c r="J15" s="14">
        <v>318.22500000000002</v>
      </c>
      <c r="K15" s="49">
        <f t="shared" si="22"/>
        <v>318.57566666666668</v>
      </c>
      <c r="L15" s="45">
        <f t="shared" ref="L15" si="29">+M15*K15/100</f>
        <v>4.4691453727147863</v>
      </c>
      <c r="M15" s="45">
        <f t="shared" ref="M15" si="30">2*SQRT(((1+20/I15)/2)^2+(1.32*STDEV(H15:H17)/SQRT(3))^2)</f>
        <v>1.4028520820427128</v>
      </c>
      <c r="N15" s="35">
        <v>53.835999999999999</v>
      </c>
      <c r="O15" s="14">
        <v>53.96</v>
      </c>
      <c r="P15" s="14">
        <f t="shared" si="5"/>
        <v>53.897999999999996</v>
      </c>
      <c r="Q15" s="48">
        <f t="shared" ref="Q15" si="31">AVERAGE(P15:P17)</f>
        <v>54.001333333333342</v>
      </c>
      <c r="R15" s="38">
        <v>319.10599999999999</v>
      </c>
      <c r="S15" s="49">
        <f>AVERAGE(R15:R17)</f>
        <v>317.8966666666667</v>
      </c>
      <c r="T15" s="45">
        <f t="shared" ref="T15" si="32">+U15*S15/100</f>
        <v>4.491286639951948</v>
      </c>
      <c r="U15" s="45">
        <f t="shared" ref="U15" si="33">2*SQRT(((1+20/Q15)/2)^2+(1.32*STDEV(P15:P17)/SQRT(3))^2)</f>
        <v>1.4128133795946107</v>
      </c>
      <c r="V15" s="3" t="s">
        <v>75</v>
      </c>
    </row>
    <row r="16" spans="1:22" x14ac:dyDescent="0.25">
      <c r="A16" s="15" t="s">
        <v>24</v>
      </c>
      <c r="B16" t="s">
        <v>44</v>
      </c>
      <c r="C16" s="15">
        <v>2</v>
      </c>
      <c r="D16">
        <v>4.9050000000000002</v>
      </c>
      <c r="E16" s="15" t="s">
        <v>15</v>
      </c>
      <c r="F16" s="16">
        <v>53.832999999999998</v>
      </c>
      <c r="G16" s="16">
        <v>53.645000000000003</v>
      </c>
      <c r="H16" s="16">
        <f t="shared" si="4"/>
        <v>53.739000000000004</v>
      </c>
      <c r="I16" s="48"/>
      <c r="J16" s="16">
        <v>320.99700000000001</v>
      </c>
      <c r="K16" s="49"/>
      <c r="L16" s="45"/>
      <c r="M16" s="45"/>
      <c r="N16" s="42">
        <v>53.868000000000002</v>
      </c>
      <c r="O16" s="16">
        <v>53.823999999999998</v>
      </c>
      <c r="P16" s="16">
        <f t="shared" si="5"/>
        <v>53.846000000000004</v>
      </c>
      <c r="Q16" s="48"/>
      <c r="R16" s="39">
        <v>319.72199999999998</v>
      </c>
      <c r="S16" s="49"/>
      <c r="T16" s="45"/>
      <c r="U16" s="45"/>
      <c r="V16" s="15"/>
    </row>
    <row r="17" spans="1:22" x14ac:dyDescent="0.25">
      <c r="A17" s="17" t="s">
        <v>24</v>
      </c>
      <c r="B17" s="18" t="s">
        <v>44</v>
      </c>
      <c r="C17" s="17">
        <v>3</v>
      </c>
      <c r="D17" s="18">
        <v>4.9050000000000002</v>
      </c>
      <c r="E17" s="17" t="s">
        <v>15</v>
      </c>
      <c r="F17" s="19">
        <v>54.12</v>
      </c>
      <c r="G17" s="19">
        <v>54.118000000000002</v>
      </c>
      <c r="H17" s="19">
        <f t="shared" si="4"/>
        <v>54.119</v>
      </c>
      <c r="I17" s="48"/>
      <c r="J17" s="19">
        <v>316.505</v>
      </c>
      <c r="K17" s="49"/>
      <c r="L17" s="45"/>
      <c r="M17" s="45"/>
      <c r="N17" s="44">
        <v>53.817</v>
      </c>
      <c r="O17" s="19">
        <v>54.703000000000003</v>
      </c>
      <c r="P17" s="16">
        <f t="shared" si="5"/>
        <v>54.260000000000005</v>
      </c>
      <c r="Q17" s="48"/>
      <c r="R17" s="40">
        <v>314.86200000000002</v>
      </c>
      <c r="S17" s="49"/>
      <c r="T17" s="45"/>
      <c r="U17" s="45"/>
      <c r="V17" s="17"/>
    </row>
    <row r="18" spans="1:22" x14ac:dyDescent="0.25">
      <c r="A18" s="3" t="s">
        <v>25</v>
      </c>
      <c r="B18" s="13" t="s">
        <v>44</v>
      </c>
      <c r="C18" s="3">
        <v>1</v>
      </c>
      <c r="D18" s="13">
        <v>4.9050000000000002</v>
      </c>
      <c r="E18" s="3" t="s">
        <v>15</v>
      </c>
      <c r="F18" s="14">
        <v>42.854999999999997</v>
      </c>
      <c r="G18" s="14">
        <v>42.924999999999997</v>
      </c>
      <c r="H18" s="14">
        <f t="shared" si="4"/>
        <v>42.89</v>
      </c>
      <c r="I18" s="48">
        <f t="shared" ref="I18" si="34">AVERAGE(H18:H20)</f>
        <v>42.603000000000002</v>
      </c>
      <c r="J18" s="14">
        <v>503.92700000000002</v>
      </c>
      <c r="K18" s="49">
        <f t="shared" si="22"/>
        <v>510.77466666666669</v>
      </c>
      <c r="L18" s="45">
        <f t="shared" ref="L18" si="35">+M18*K18/100</f>
        <v>7.755928484351144</v>
      </c>
      <c r="M18" s="45">
        <f t="shared" ref="M18" si="36">2*SQRT(((1+20/I18)/2)^2+(1.32*STDEV(H18:H20)/SQRT(3))^2)</f>
        <v>1.5184638139879969</v>
      </c>
      <c r="N18" s="35">
        <v>42.965000000000003</v>
      </c>
      <c r="O18" s="14">
        <v>43.139000000000003</v>
      </c>
      <c r="P18" s="14">
        <f t="shared" si="5"/>
        <v>43.052000000000007</v>
      </c>
      <c r="Q18" s="48">
        <f t="shared" ref="Q18" si="37">AVERAGE(P18:P20)</f>
        <v>42.794333333333327</v>
      </c>
      <c r="R18" s="38">
        <v>500.142</v>
      </c>
      <c r="S18" s="49">
        <f t="shared" si="25"/>
        <v>506.25799999999998</v>
      </c>
      <c r="T18" s="45">
        <f t="shared" ref="T18" si="38">+U18*S18/100</f>
        <v>8.0059029000866193</v>
      </c>
      <c r="U18" s="45">
        <f t="shared" ref="U18" si="39">2*SQRT(((1+20/Q18)/2)^2+(1.32*STDEV(P18:P20)/SQRT(3))^2)</f>
        <v>1.5813879287016936</v>
      </c>
      <c r="V18" s="3" t="s">
        <v>91</v>
      </c>
    </row>
    <row r="19" spans="1:22" x14ac:dyDescent="0.25">
      <c r="A19" s="15" t="s">
        <v>25</v>
      </c>
      <c r="B19" t="s">
        <v>44</v>
      </c>
      <c r="C19" s="15">
        <v>2</v>
      </c>
      <c r="D19">
        <v>4.9050000000000002</v>
      </c>
      <c r="E19" s="15" t="s">
        <v>15</v>
      </c>
      <c r="F19" s="16">
        <v>42.539000000000001</v>
      </c>
      <c r="G19" s="16">
        <v>42.308999999999997</v>
      </c>
      <c r="H19" s="16">
        <f t="shared" si="4"/>
        <v>42.423999999999999</v>
      </c>
      <c r="I19" s="48"/>
      <c r="J19" s="16">
        <v>515.05799999999999</v>
      </c>
      <c r="K19" s="49"/>
      <c r="L19" s="45"/>
      <c r="M19" s="45"/>
      <c r="N19" s="42">
        <v>42.482999999999997</v>
      </c>
      <c r="O19" s="16">
        <v>42.216000000000001</v>
      </c>
      <c r="P19" s="16">
        <f t="shared" si="5"/>
        <v>42.349499999999999</v>
      </c>
      <c r="Q19" s="48"/>
      <c r="R19" s="39">
        <v>516.86</v>
      </c>
      <c r="S19" s="49"/>
      <c r="T19" s="45"/>
      <c r="U19" s="45"/>
      <c r="V19" s="15"/>
    </row>
    <row r="20" spans="1:22" x14ac:dyDescent="0.25">
      <c r="A20" s="17" t="s">
        <v>25</v>
      </c>
      <c r="B20" s="18" t="s">
        <v>44</v>
      </c>
      <c r="C20" s="17">
        <v>3</v>
      </c>
      <c r="D20" s="18">
        <v>4.9050000000000002</v>
      </c>
      <c r="E20" s="17" t="s">
        <v>15</v>
      </c>
      <c r="F20" s="19">
        <v>42.506</v>
      </c>
      <c r="G20" s="19">
        <v>42.484000000000002</v>
      </c>
      <c r="H20" s="19">
        <f t="shared" si="4"/>
        <v>42.495000000000005</v>
      </c>
      <c r="I20" s="48"/>
      <c r="J20" s="19">
        <v>513.33900000000006</v>
      </c>
      <c r="K20" s="49"/>
      <c r="L20" s="45"/>
      <c r="M20" s="45"/>
      <c r="N20" s="44">
        <v>42.722999999999999</v>
      </c>
      <c r="O20" s="19">
        <v>43.24</v>
      </c>
      <c r="P20" s="19">
        <f t="shared" si="5"/>
        <v>42.981499999999997</v>
      </c>
      <c r="Q20" s="48"/>
      <c r="R20" s="40">
        <v>501.77199999999999</v>
      </c>
      <c r="S20" s="49"/>
      <c r="T20" s="45"/>
      <c r="U20" s="45"/>
      <c r="V20" s="17"/>
    </row>
    <row r="21" spans="1:22" x14ac:dyDescent="0.25">
      <c r="A21" s="3" t="s">
        <v>26</v>
      </c>
      <c r="B21" s="13" t="s">
        <v>44</v>
      </c>
      <c r="C21" s="3">
        <v>1</v>
      </c>
      <c r="D21" s="13">
        <v>4.9050000000000002</v>
      </c>
      <c r="E21" s="3" t="s">
        <v>15</v>
      </c>
      <c r="F21" s="14">
        <v>35.088999999999999</v>
      </c>
      <c r="G21" s="14">
        <v>35.340000000000003</v>
      </c>
      <c r="H21" s="14">
        <f t="shared" si="4"/>
        <v>35.214500000000001</v>
      </c>
      <c r="I21" s="48">
        <f t="shared" ref="I21" si="40">AVERAGE(H21:H23)</f>
        <v>35.116333333333337</v>
      </c>
      <c r="J21" s="14">
        <v>747.54399999999998</v>
      </c>
      <c r="K21" s="49">
        <f t="shared" si="22"/>
        <v>751.76833333333332</v>
      </c>
      <c r="L21" s="45">
        <f t="shared" ref="L21" si="41">+M21*K21/100</f>
        <v>11.976605747516862</v>
      </c>
      <c r="M21" s="45">
        <f t="shared" ref="M21" si="42">2*SQRT(((1+20/I21)/2)^2+(1.32*STDEV(H21:H23)/SQRT(3))^2)</f>
        <v>1.5931245327151133</v>
      </c>
      <c r="N21" s="35">
        <v>35.067999999999998</v>
      </c>
      <c r="O21" s="14">
        <v>34.808</v>
      </c>
      <c r="P21" s="14">
        <f t="shared" si="5"/>
        <v>34.938000000000002</v>
      </c>
      <c r="Q21" s="48">
        <f t="shared" ref="Q21" si="43">AVERAGE(P21:P23)</f>
        <v>35.003333333333337</v>
      </c>
      <c r="R21" s="38">
        <v>759.423</v>
      </c>
      <c r="S21" s="49">
        <f t="shared" si="25"/>
        <v>756.69099999999992</v>
      </c>
      <c r="T21" s="45">
        <f t="shared" ref="T21" si="44">+U21*S21/100</f>
        <v>12.338456320805955</v>
      </c>
      <c r="U21" s="45">
        <f t="shared" ref="U21" si="45">2*SQRT(((1+20/Q21)/2)^2+(1.32*STDEV(P21:P23)/SQRT(3))^2)</f>
        <v>1.6305805567670233</v>
      </c>
      <c r="V21" s="3" t="s">
        <v>82</v>
      </c>
    </row>
    <row r="22" spans="1:22" x14ac:dyDescent="0.25">
      <c r="A22" s="15" t="s">
        <v>26</v>
      </c>
      <c r="B22" t="s">
        <v>44</v>
      </c>
      <c r="C22" s="15">
        <v>2</v>
      </c>
      <c r="D22">
        <v>4.9050000000000002</v>
      </c>
      <c r="E22" s="15" t="s">
        <v>15</v>
      </c>
      <c r="F22" s="16">
        <v>35.316000000000003</v>
      </c>
      <c r="G22" s="16">
        <v>35.134</v>
      </c>
      <c r="H22" s="16">
        <f t="shared" si="4"/>
        <v>35.225000000000001</v>
      </c>
      <c r="I22" s="48"/>
      <c r="J22" s="16">
        <v>747.09799999999996</v>
      </c>
      <c r="K22" s="49"/>
      <c r="L22" s="45"/>
      <c r="M22" s="45"/>
      <c r="N22" s="42">
        <v>35.396000000000001</v>
      </c>
      <c r="O22" s="16">
        <v>35.235999999999997</v>
      </c>
      <c r="P22" s="16">
        <f t="shared" si="5"/>
        <v>35.316000000000003</v>
      </c>
      <c r="Q22" s="48"/>
      <c r="R22" s="39">
        <v>743.25300000000004</v>
      </c>
      <c r="S22" s="49"/>
      <c r="T22" s="45"/>
      <c r="U22" s="45"/>
      <c r="V22" s="15"/>
    </row>
    <row r="23" spans="1:22" x14ac:dyDescent="0.25">
      <c r="A23" s="17" t="s">
        <v>26</v>
      </c>
      <c r="B23" s="18" t="s">
        <v>44</v>
      </c>
      <c r="C23" s="17">
        <v>3</v>
      </c>
      <c r="D23" s="18">
        <v>4.9050000000000002</v>
      </c>
      <c r="E23" s="17" t="s">
        <v>15</v>
      </c>
      <c r="F23" s="19">
        <v>34.911999999999999</v>
      </c>
      <c r="G23" s="19">
        <v>34.906999999999996</v>
      </c>
      <c r="H23" s="19">
        <f t="shared" si="4"/>
        <v>34.909499999999994</v>
      </c>
      <c r="I23" s="48"/>
      <c r="J23" s="19">
        <v>760.66300000000001</v>
      </c>
      <c r="K23" s="49"/>
      <c r="L23" s="45"/>
      <c r="M23" s="45"/>
      <c r="N23" s="44">
        <v>34.438000000000002</v>
      </c>
      <c r="O23" s="19">
        <v>35.073999999999998</v>
      </c>
      <c r="P23" s="19">
        <f t="shared" si="5"/>
        <v>34.756</v>
      </c>
      <c r="Q23" s="48"/>
      <c r="R23" s="40">
        <v>767.39700000000005</v>
      </c>
      <c r="S23" s="49"/>
      <c r="T23" s="45"/>
      <c r="U23" s="45"/>
      <c r="V23" s="17"/>
    </row>
    <row r="24" spans="1:22" x14ac:dyDescent="0.25">
      <c r="A24" s="3" t="s">
        <v>27</v>
      </c>
      <c r="B24" s="13" t="s">
        <v>44</v>
      </c>
      <c r="C24" s="3">
        <v>1</v>
      </c>
      <c r="D24" s="13">
        <v>4.9050000000000002</v>
      </c>
      <c r="E24" s="3" t="s">
        <v>15</v>
      </c>
      <c r="F24" s="14">
        <v>30.614999999999998</v>
      </c>
      <c r="G24" s="14">
        <v>30.99</v>
      </c>
      <c r="H24" s="14">
        <f t="shared" si="4"/>
        <v>30.802499999999998</v>
      </c>
      <c r="I24" s="48">
        <f t="shared" ref="I24" si="46">AVERAGE(H24:H26)</f>
        <v>30.727333333333331</v>
      </c>
      <c r="J24" s="14">
        <v>977.03</v>
      </c>
      <c r="K24" s="49">
        <f t="shared" si="22"/>
        <v>981.83733333333339</v>
      </c>
      <c r="L24" s="45">
        <f t="shared" ref="L24" si="47">+M24*K24/100</f>
        <v>16.279899392104884</v>
      </c>
      <c r="M24" s="45">
        <f t="shared" ref="M24" si="48">2*SQRT(((1+20/I24)/2)^2+(1.32*STDEV(H24:H26)/SQRT(3))^2)</f>
        <v>1.6581055577541237</v>
      </c>
      <c r="N24" s="35">
        <v>30.856000000000002</v>
      </c>
      <c r="O24" s="14">
        <v>31.007000000000001</v>
      </c>
      <c r="P24" s="14">
        <f t="shared" si="5"/>
        <v>30.9315</v>
      </c>
      <c r="Q24" s="48">
        <f t="shared" ref="Q24" si="49">AVERAGE(P24:P26)</f>
        <v>30.750333333333334</v>
      </c>
      <c r="R24" s="38">
        <v>968.92899999999997</v>
      </c>
      <c r="S24" s="49">
        <f t="shared" si="25"/>
        <v>980.47500000000002</v>
      </c>
      <c r="T24" s="45">
        <f t="shared" ref="T24" si="50">+U24*S24/100</f>
        <v>16.529554309333722</v>
      </c>
      <c r="U24" s="45">
        <f t="shared" ref="U24" si="51">2*SQRT(((1+20/Q24)/2)^2+(1.32*STDEV(P24:P26)/SQRT(3))^2)</f>
        <v>1.6858720833609957</v>
      </c>
      <c r="V24" s="3" t="s">
        <v>79</v>
      </c>
    </row>
    <row r="25" spans="1:22" x14ac:dyDescent="0.25">
      <c r="A25" s="15" t="s">
        <v>27</v>
      </c>
      <c r="B25" t="s">
        <v>44</v>
      </c>
      <c r="C25" s="15">
        <v>2</v>
      </c>
      <c r="D25">
        <v>4.9050000000000002</v>
      </c>
      <c r="E25" s="15" t="s">
        <v>15</v>
      </c>
      <c r="F25" s="16">
        <v>30.634</v>
      </c>
      <c r="G25" s="16">
        <v>30.901</v>
      </c>
      <c r="H25" s="16">
        <f t="shared" si="4"/>
        <v>30.767499999999998</v>
      </c>
      <c r="I25" s="48"/>
      <c r="J25" s="16">
        <v>979.25400000000002</v>
      </c>
      <c r="K25" s="49"/>
      <c r="L25" s="45"/>
      <c r="M25" s="45"/>
      <c r="N25" s="42">
        <v>30.597000000000001</v>
      </c>
      <c r="O25" s="16">
        <v>31.047000000000001</v>
      </c>
      <c r="P25" s="16">
        <f t="shared" si="5"/>
        <v>30.822000000000003</v>
      </c>
      <c r="Q25" s="48"/>
      <c r="R25" s="39">
        <v>975.79399999999998</v>
      </c>
      <c r="S25" s="49"/>
      <c r="T25" s="45"/>
      <c r="U25" s="45"/>
      <c r="V25" s="15"/>
    </row>
    <row r="26" spans="1:22" x14ac:dyDescent="0.25">
      <c r="A26" s="17" t="s">
        <v>27</v>
      </c>
      <c r="B26" s="18" t="s">
        <v>44</v>
      </c>
      <c r="C26" s="17">
        <v>3</v>
      </c>
      <c r="D26" s="18">
        <v>4.9050000000000002</v>
      </c>
      <c r="E26" s="17" t="s">
        <v>15</v>
      </c>
      <c r="F26" s="19">
        <v>30.768999999999998</v>
      </c>
      <c r="G26" s="19">
        <v>30.454999999999998</v>
      </c>
      <c r="H26" s="19">
        <f t="shared" si="4"/>
        <v>30.611999999999998</v>
      </c>
      <c r="I26" s="48"/>
      <c r="J26" s="19">
        <v>989.22799999999995</v>
      </c>
      <c r="K26" s="49"/>
      <c r="L26" s="45"/>
      <c r="M26" s="45"/>
      <c r="N26" s="44">
        <v>30.544</v>
      </c>
      <c r="O26" s="19">
        <v>30.451000000000001</v>
      </c>
      <c r="P26" s="19">
        <f t="shared" si="5"/>
        <v>30.497500000000002</v>
      </c>
      <c r="Q26" s="48"/>
      <c r="R26" s="40">
        <v>996.702</v>
      </c>
      <c r="S26" s="49"/>
      <c r="T26" s="45"/>
      <c r="U26" s="45"/>
      <c r="V26" s="17"/>
    </row>
    <row r="27" spans="1:22" x14ac:dyDescent="0.25">
      <c r="A27" s="4" t="s">
        <v>22</v>
      </c>
      <c r="B27" s="5" t="s">
        <v>45</v>
      </c>
      <c r="C27" s="4">
        <v>1</v>
      </c>
      <c r="D27" s="5">
        <v>9.81</v>
      </c>
      <c r="E27" s="4" t="s">
        <v>11</v>
      </c>
      <c r="F27" s="6">
        <v>133.989</v>
      </c>
      <c r="G27" s="6">
        <v>133.84700000000001</v>
      </c>
      <c r="H27" s="6">
        <f t="shared" si="4"/>
        <v>133.91800000000001</v>
      </c>
      <c r="I27" s="47">
        <f>AVERAGE(H27:H29)</f>
        <v>133.86316666666667</v>
      </c>
      <c r="J27" s="6">
        <v>103.379</v>
      </c>
      <c r="K27" s="47">
        <f t="shared" si="22"/>
        <v>103.47533333333332</v>
      </c>
      <c r="L27" s="46">
        <f t="shared" ref="L27" si="52">+M27*K27/100</f>
        <v>1.334813531007623</v>
      </c>
      <c r="M27" s="46">
        <f t="shared" ref="M27" si="53">2*SQRT(((1+20/I27)/2)^2+(1.32*STDEV(H27:H29)/SQRT(3))^2)</f>
        <v>1.2899823445919059</v>
      </c>
      <c r="N27" s="31">
        <v>134.227</v>
      </c>
      <c r="O27" s="6">
        <v>134.149</v>
      </c>
      <c r="P27" s="6">
        <f t="shared" si="5"/>
        <v>134.18799999999999</v>
      </c>
      <c r="Q27" s="47">
        <f>AVERAGE(P27:P29)</f>
        <v>133.99066666666667</v>
      </c>
      <c r="R27" s="37">
        <v>102.96299999999999</v>
      </c>
      <c r="S27" s="47">
        <f>AVERAGE(R27:R29)</f>
        <v>103.26933333333334</v>
      </c>
      <c r="T27" s="46">
        <f t="shared" ref="T27" si="54">+U27*S27/100</f>
        <v>1.3955682315596869</v>
      </c>
      <c r="U27" s="46">
        <f t="shared" ref="U27" si="55">2*SQRT(((1+20/Q27)/2)^2+(1.32*STDEV(P27:P29)/SQRT(3))^2)</f>
        <v>1.3513868895183663</v>
      </c>
      <c r="V27" s="4" t="s">
        <v>89</v>
      </c>
    </row>
    <row r="28" spans="1:22" x14ac:dyDescent="0.25">
      <c r="A28" s="7" t="s">
        <v>22</v>
      </c>
      <c r="B28" s="8" t="s">
        <v>45</v>
      </c>
      <c r="C28" s="7">
        <v>2</v>
      </c>
      <c r="D28" s="8">
        <v>9.81</v>
      </c>
      <c r="E28" s="7" t="s">
        <v>11</v>
      </c>
      <c r="F28" s="9">
        <v>133.77199999999999</v>
      </c>
      <c r="G28" s="9">
        <v>134.66200000000001</v>
      </c>
      <c r="H28" s="9">
        <f t="shared" si="4"/>
        <v>134.21699999999998</v>
      </c>
      <c r="I28" s="47"/>
      <c r="J28" s="9">
        <v>102.949</v>
      </c>
      <c r="K28" s="47"/>
      <c r="L28" s="46"/>
      <c r="M28" s="46"/>
      <c r="N28" s="43">
        <v>133.88399999999999</v>
      </c>
      <c r="O28" s="9">
        <v>134.768</v>
      </c>
      <c r="P28" s="9">
        <f t="shared" si="5"/>
        <v>134.32599999999999</v>
      </c>
      <c r="Q28" s="47"/>
      <c r="R28" s="36">
        <v>102.752</v>
      </c>
      <c r="S28" s="47"/>
      <c r="T28" s="46"/>
      <c r="U28" s="46"/>
      <c r="V28" s="7"/>
    </row>
    <row r="29" spans="1:22" x14ac:dyDescent="0.25">
      <c r="A29" s="10" t="s">
        <v>22</v>
      </c>
      <c r="B29" s="11" t="s">
        <v>45</v>
      </c>
      <c r="C29" s="10">
        <v>3</v>
      </c>
      <c r="D29" s="11">
        <v>9.81</v>
      </c>
      <c r="E29" s="10" t="s">
        <v>11</v>
      </c>
      <c r="F29" s="12">
        <v>133.89599999999999</v>
      </c>
      <c r="G29" s="12">
        <v>133.01300000000001</v>
      </c>
      <c r="H29" s="12">
        <f t="shared" si="4"/>
        <v>133.4545</v>
      </c>
      <c r="I29" s="47"/>
      <c r="J29" s="12">
        <v>104.098</v>
      </c>
      <c r="K29" s="47"/>
      <c r="L29" s="46"/>
      <c r="M29" s="46"/>
      <c r="N29" s="30">
        <v>133.959</v>
      </c>
      <c r="O29" s="12">
        <v>132.95699999999999</v>
      </c>
      <c r="P29" s="12">
        <f t="shared" si="5"/>
        <v>133.458</v>
      </c>
      <c r="Q29" s="47"/>
      <c r="R29" s="41">
        <v>104.093</v>
      </c>
      <c r="S29" s="47"/>
      <c r="T29" s="46"/>
      <c r="U29" s="46"/>
      <c r="V29" s="10"/>
    </row>
    <row r="30" spans="1:22" x14ac:dyDescent="0.25">
      <c r="A30" s="4" t="s">
        <v>24</v>
      </c>
      <c r="B30" s="5" t="s">
        <v>45</v>
      </c>
      <c r="C30" s="4">
        <v>1</v>
      </c>
      <c r="D30" s="5">
        <v>9.81</v>
      </c>
      <c r="E30" s="4" t="s">
        <v>15</v>
      </c>
      <c r="F30" s="6">
        <v>76.986000000000004</v>
      </c>
      <c r="G30" s="6">
        <v>78.472999999999999</v>
      </c>
      <c r="H30" s="6">
        <f t="shared" si="4"/>
        <v>77.729500000000002</v>
      </c>
      <c r="I30" s="47">
        <f t="shared" ref="I30" si="56">AVERAGE(H30:H32)</f>
        <v>76.676000000000002</v>
      </c>
      <c r="J30" s="6">
        <v>306.858</v>
      </c>
      <c r="K30" s="47">
        <f t="shared" si="22"/>
        <v>315.334</v>
      </c>
      <c r="L30" s="46">
        <f t="shared" ref="L30" si="57">+M30*K30/100</f>
        <v>6.3541759178090658</v>
      </c>
      <c r="M30" s="46">
        <f t="shared" ref="M30" si="58">2*SQRT(((1+20/I30)/2)^2+(1.32*STDEV(H30:H32)/SQRT(3))^2)</f>
        <v>2.0150620985396648</v>
      </c>
      <c r="N30" s="31">
        <v>76.23</v>
      </c>
      <c r="O30" s="6">
        <v>78.802999999999997</v>
      </c>
      <c r="P30" s="6">
        <f t="shared" si="5"/>
        <v>77.516500000000008</v>
      </c>
      <c r="Q30" s="47">
        <f t="shared" ref="Q30" si="59">AVERAGE(P30:P32)</f>
        <v>76.314499999999995</v>
      </c>
      <c r="R30" s="37">
        <v>308.54300000000001</v>
      </c>
      <c r="S30" s="47">
        <f t="shared" ref="S30" si="60">AVERAGE(R30:R32)</f>
        <v>318.48700000000002</v>
      </c>
      <c r="T30" s="46">
        <f t="shared" ref="T30" si="61">+U30*S30/100</f>
        <v>6.8887114116448265</v>
      </c>
      <c r="U30" s="46">
        <f t="shared" ref="U30" si="62">2*SQRT(((1+20/Q30)/2)^2+(1.32*STDEV(P30:P32)/SQRT(3))^2)</f>
        <v>2.1629490094241919</v>
      </c>
      <c r="V30" s="4" t="s">
        <v>76</v>
      </c>
    </row>
    <row r="31" spans="1:22" x14ac:dyDescent="0.25">
      <c r="A31" s="7" t="s">
        <v>24</v>
      </c>
      <c r="B31" s="8" t="s">
        <v>45</v>
      </c>
      <c r="C31" s="7">
        <v>2</v>
      </c>
      <c r="D31" s="8">
        <v>9.81</v>
      </c>
      <c r="E31" s="7" t="s">
        <v>15</v>
      </c>
      <c r="F31" s="9">
        <v>76.099000000000004</v>
      </c>
      <c r="G31" s="9">
        <v>75.238</v>
      </c>
      <c r="H31" s="9">
        <f t="shared" si="4"/>
        <v>75.668499999999995</v>
      </c>
      <c r="I31" s="47"/>
      <c r="J31" s="9">
        <v>323.41699999999997</v>
      </c>
      <c r="K31" s="47"/>
      <c r="L31" s="46"/>
      <c r="M31" s="46"/>
      <c r="N31" s="43">
        <v>75.403999999999996</v>
      </c>
      <c r="O31" s="9">
        <v>75.034000000000006</v>
      </c>
      <c r="P31" s="9">
        <f t="shared" si="5"/>
        <v>75.218999999999994</v>
      </c>
      <c r="Q31" s="47"/>
      <c r="R31" s="36">
        <v>327.68400000000003</v>
      </c>
      <c r="S31" s="47"/>
      <c r="T31" s="46"/>
      <c r="U31" s="46"/>
      <c r="V31" s="7" t="s">
        <v>77</v>
      </c>
    </row>
    <row r="32" spans="1:22" x14ac:dyDescent="0.25">
      <c r="A32" s="10" t="s">
        <v>24</v>
      </c>
      <c r="B32" s="11" t="s">
        <v>45</v>
      </c>
      <c r="C32" s="10">
        <v>3</v>
      </c>
      <c r="D32" s="11">
        <v>9.81</v>
      </c>
      <c r="E32" s="10" t="s">
        <v>15</v>
      </c>
      <c r="F32" s="12">
        <v>76.977999999999994</v>
      </c>
      <c r="G32" s="12">
        <v>76.281999999999996</v>
      </c>
      <c r="H32" s="12">
        <f t="shared" si="4"/>
        <v>76.63</v>
      </c>
      <c r="I32" s="47"/>
      <c r="J32" s="12">
        <v>315.72699999999998</v>
      </c>
      <c r="K32" s="47"/>
      <c r="L32" s="46"/>
      <c r="M32" s="46"/>
      <c r="N32" s="30">
        <v>76.602999999999994</v>
      </c>
      <c r="O32" s="12">
        <v>75.813000000000002</v>
      </c>
      <c r="P32" s="12">
        <f t="shared" si="5"/>
        <v>76.207999999999998</v>
      </c>
      <c r="Q32" s="47"/>
      <c r="R32" s="41">
        <v>319.23399999999998</v>
      </c>
      <c r="S32" s="47"/>
      <c r="T32" s="46"/>
      <c r="U32" s="46"/>
      <c r="V32" s="10"/>
    </row>
    <row r="33" spans="1:22" x14ac:dyDescent="0.25">
      <c r="A33" s="4" t="s">
        <v>25</v>
      </c>
      <c r="B33" s="5" t="s">
        <v>45</v>
      </c>
      <c r="C33" s="4">
        <v>1</v>
      </c>
      <c r="D33" s="5">
        <v>9.81</v>
      </c>
      <c r="E33" s="4" t="s">
        <v>15</v>
      </c>
      <c r="F33" s="6">
        <v>61.232999999999997</v>
      </c>
      <c r="G33" s="6">
        <v>60.570999999999998</v>
      </c>
      <c r="H33" s="6">
        <f>(F33+G33)/2</f>
        <v>60.902000000000001</v>
      </c>
      <c r="I33" s="47">
        <f t="shared" ref="I33" si="63">AVERAGE(H33:H35)</f>
        <v>60.518000000000001</v>
      </c>
      <c r="J33" s="6">
        <v>499.858</v>
      </c>
      <c r="K33" s="47">
        <f t="shared" si="22"/>
        <v>506.26866666666666</v>
      </c>
      <c r="L33" s="46">
        <f t="shared" ref="L33" si="64">+M33*K33/100</f>
        <v>7.4489527100806292</v>
      </c>
      <c r="M33" s="46">
        <f t="shared" ref="M33" si="65">2*SQRT(((1+20/I33)/2)^2+(1.32*STDEV(H33:H35)/SQRT(3))^2)</f>
        <v>1.4713438141699391</v>
      </c>
      <c r="N33" s="31">
        <v>61.338999999999999</v>
      </c>
      <c r="O33" s="6">
        <v>60.506</v>
      </c>
      <c r="P33" s="6">
        <f t="shared" si="5"/>
        <v>60.922499999999999</v>
      </c>
      <c r="Q33" s="47">
        <f t="shared" ref="Q33" si="66">AVERAGE(P33:P35)</f>
        <v>60.276999999999994</v>
      </c>
      <c r="R33" s="37">
        <v>499.51299999999998</v>
      </c>
      <c r="S33" s="47">
        <f t="shared" ref="S33" si="67">AVERAGE(R33:R35)</f>
        <v>510.36499999999995</v>
      </c>
      <c r="T33" s="46">
        <f t="shared" ref="T33" si="68">+U33*S33/100</f>
        <v>8.0699132052505469</v>
      </c>
      <c r="U33" s="46">
        <f t="shared" ref="U33" si="69">2*SQRT(((1+20/Q33)/2)^2+(1.32*STDEV(P33:P35)/SQRT(3))^2)</f>
        <v>1.5812042764003307</v>
      </c>
      <c r="V33" s="4" t="s">
        <v>92</v>
      </c>
    </row>
    <row r="34" spans="1:22" x14ac:dyDescent="0.25">
      <c r="A34" s="7" t="s">
        <v>25</v>
      </c>
      <c r="B34" s="8" t="s">
        <v>45</v>
      </c>
      <c r="C34" s="7">
        <v>2</v>
      </c>
      <c r="D34" s="8">
        <v>9.81</v>
      </c>
      <c r="E34" s="7" t="s">
        <v>15</v>
      </c>
      <c r="F34" s="9">
        <v>60.38</v>
      </c>
      <c r="G34" s="9">
        <v>60.759</v>
      </c>
      <c r="H34" s="9">
        <f t="shared" si="4"/>
        <v>60.569500000000005</v>
      </c>
      <c r="I34" s="47"/>
      <c r="J34" s="9">
        <v>505.36099999999999</v>
      </c>
      <c r="K34" s="47"/>
      <c r="L34" s="46"/>
      <c r="M34" s="46"/>
      <c r="N34" s="43">
        <v>59.747999999999998</v>
      </c>
      <c r="O34" s="9">
        <v>60.131</v>
      </c>
      <c r="P34" s="9">
        <f t="shared" si="5"/>
        <v>59.939499999999995</v>
      </c>
      <c r="Q34" s="47"/>
      <c r="R34" s="36">
        <v>516.04899999999998</v>
      </c>
      <c r="S34" s="47"/>
      <c r="T34" s="46"/>
      <c r="U34" s="46"/>
      <c r="V34" s="7"/>
    </row>
    <row r="35" spans="1:22" x14ac:dyDescent="0.25">
      <c r="A35" s="10" t="s">
        <v>25</v>
      </c>
      <c r="B35" s="11" t="s">
        <v>45</v>
      </c>
      <c r="C35" s="10">
        <v>3</v>
      </c>
      <c r="D35" s="11">
        <v>9.81</v>
      </c>
      <c r="E35" s="10" t="s">
        <v>15</v>
      </c>
      <c r="F35" s="12">
        <v>60.709000000000003</v>
      </c>
      <c r="G35" s="12">
        <v>59.456000000000003</v>
      </c>
      <c r="H35" s="12">
        <f t="shared" si="4"/>
        <v>60.082500000000003</v>
      </c>
      <c r="I35" s="47"/>
      <c r="J35" s="12">
        <v>513.58699999999999</v>
      </c>
      <c r="K35" s="47"/>
      <c r="L35" s="46"/>
      <c r="M35" s="46"/>
      <c r="N35" s="30">
        <v>60.283999999999999</v>
      </c>
      <c r="O35" s="12">
        <v>59.654000000000003</v>
      </c>
      <c r="P35" s="12">
        <f t="shared" si="5"/>
        <v>59.969000000000001</v>
      </c>
      <c r="Q35" s="47"/>
      <c r="R35" s="41">
        <v>515.53300000000002</v>
      </c>
      <c r="S35" s="47"/>
      <c r="T35" s="46"/>
      <c r="U35" s="46"/>
      <c r="V35" s="10" t="s">
        <v>93</v>
      </c>
    </row>
    <row r="36" spans="1:22" x14ac:dyDescent="0.25">
      <c r="A36" s="4" t="s">
        <v>26</v>
      </c>
      <c r="B36" s="5" t="s">
        <v>45</v>
      </c>
      <c r="C36" s="4">
        <v>1</v>
      </c>
      <c r="D36" s="5">
        <v>9.81</v>
      </c>
      <c r="E36" s="4" t="s">
        <v>15</v>
      </c>
      <c r="F36" s="6">
        <v>50.597000000000001</v>
      </c>
      <c r="G36" s="6">
        <v>50.738999999999997</v>
      </c>
      <c r="H36" s="6">
        <f t="shared" si="4"/>
        <v>50.667999999999999</v>
      </c>
      <c r="I36" s="47">
        <f t="shared" ref="I36" si="70">AVERAGE(H36:H38)</f>
        <v>50.349666666666671</v>
      </c>
      <c r="J36" s="6">
        <v>722.17499999999995</v>
      </c>
      <c r="K36" s="47">
        <f t="shared" si="22"/>
        <v>731.39166666666677</v>
      </c>
      <c r="L36" s="46">
        <f t="shared" ref="L36" si="71">+M36*K36/100</f>
        <v>10.794704109889008</v>
      </c>
      <c r="M36" s="46">
        <f t="shared" ref="M36" si="72">2*SQRT(((1+20/I36)/2)^2+(1.32*STDEV(H36:H38)/SQRT(3))^2)</f>
        <v>1.4759129207864923</v>
      </c>
      <c r="N36" s="31">
        <v>50.109000000000002</v>
      </c>
      <c r="O36" s="6">
        <v>50.502000000000002</v>
      </c>
      <c r="P36" s="6">
        <f t="shared" si="5"/>
        <v>50.305500000000002</v>
      </c>
      <c r="Q36" s="47">
        <f t="shared" ref="Q36" si="73">AVERAGE(P36:P38)</f>
        <v>50.025500000000001</v>
      </c>
      <c r="R36" s="37">
        <v>732.63499999999999</v>
      </c>
      <c r="S36" s="47">
        <f t="shared" ref="S36" si="74">AVERAGE(R36:R38)</f>
        <v>740.91133333333335</v>
      </c>
      <c r="T36" s="46">
        <f t="shared" ref="T36" si="75">+U36*S36/100</f>
        <v>10.901127025755111</v>
      </c>
      <c r="U36" s="46">
        <f t="shared" ref="U36" si="76">2*SQRT(((1+20/Q36)/2)^2+(1.32*STDEV(P36:P38)/SQRT(3))^2)</f>
        <v>1.4713133050227931</v>
      </c>
      <c r="V36" s="4" t="s">
        <v>83</v>
      </c>
    </row>
    <row r="37" spans="1:22" x14ac:dyDescent="0.25">
      <c r="A37" s="7" t="s">
        <v>26</v>
      </c>
      <c r="B37" s="8" t="s">
        <v>45</v>
      </c>
      <c r="C37" s="7">
        <v>2</v>
      </c>
      <c r="D37" s="8">
        <v>9.81</v>
      </c>
      <c r="E37" s="7" t="s">
        <v>15</v>
      </c>
      <c r="F37" s="9">
        <v>50.4</v>
      </c>
      <c r="G37" s="9">
        <v>50.273000000000003</v>
      </c>
      <c r="H37" s="9">
        <f t="shared" si="4"/>
        <v>50.336500000000001</v>
      </c>
      <c r="I37" s="47"/>
      <c r="J37" s="9">
        <v>731.71799999999996</v>
      </c>
      <c r="K37" s="47"/>
      <c r="L37" s="46"/>
      <c r="M37" s="46"/>
      <c r="N37" s="43">
        <v>50.241999999999997</v>
      </c>
      <c r="O37" s="9">
        <v>49.872999999999998</v>
      </c>
      <c r="P37" s="9">
        <f t="shared" si="5"/>
        <v>50.057499999999997</v>
      </c>
      <c r="Q37" s="47"/>
      <c r="R37" s="36">
        <v>739.91200000000003</v>
      </c>
      <c r="S37" s="47"/>
      <c r="T37" s="46"/>
      <c r="U37" s="46"/>
      <c r="V37" s="7"/>
    </row>
    <row r="38" spans="1:22" x14ac:dyDescent="0.25">
      <c r="A38" s="10" t="s">
        <v>26</v>
      </c>
      <c r="B38" s="11" t="s">
        <v>45</v>
      </c>
      <c r="C38" s="10">
        <v>3</v>
      </c>
      <c r="D38" s="11">
        <v>9.81</v>
      </c>
      <c r="E38" s="10" t="s">
        <v>15</v>
      </c>
      <c r="F38" s="12">
        <v>49.854999999999997</v>
      </c>
      <c r="G38" s="12">
        <v>50.234000000000002</v>
      </c>
      <c r="H38" s="12">
        <f t="shared" si="4"/>
        <v>50.044499999999999</v>
      </c>
      <c r="I38" s="47"/>
      <c r="J38" s="12">
        <v>740.28200000000004</v>
      </c>
      <c r="K38" s="47"/>
      <c r="L38" s="46"/>
      <c r="M38" s="46"/>
      <c r="N38" s="30">
        <v>49.512</v>
      </c>
      <c r="O38" s="12">
        <v>49.914999999999999</v>
      </c>
      <c r="P38" s="12">
        <f t="shared" si="5"/>
        <v>49.713499999999996</v>
      </c>
      <c r="Q38" s="47"/>
      <c r="R38" s="41">
        <v>750.18700000000001</v>
      </c>
      <c r="S38" s="47"/>
      <c r="T38" s="46"/>
      <c r="U38" s="46"/>
      <c r="V38" s="10"/>
    </row>
    <row r="39" spans="1:22" x14ac:dyDescent="0.25">
      <c r="A39" s="4" t="s">
        <v>27</v>
      </c>
      <c r="B39" s="5" t="s">
        <v>45</v>
      </c>
      <c r="C39" s="4">
        <v>1</v>
      </c>
      <c r="D39" s="5">
        <v>9.81</v>
      </c>
      <c r="E39" s="4" t="s">
        <v>15</v>
      </c>
      <c r="F39" s="6">
        <v>45.061</v>
      </c>
      <c r="G39" s="6">
        <v>45.140999999999998</v>
      </c>
      <c r="H39" s="6">
        <f t="shared" si="4"/>
        <v>45.100999999999999</v>
      </c>
      <c r="I39" s="47">
        <f t="shared" ref="I39" si="77">AVERAGE(H39:H41)</f>
        <v>45.110833333333325</v>
      </c>
      <c r="J39" s="6">
        <v>911.46</v>
      </c>
      <c r="K39" s="47">
        <f t="shared" si="22"/>
        <v>911.0723333333334</v>
      </c>
      <c r="L39" s="46">
        <f t="shared" ref="L39" si="78">+M39*K39/100</f>
        <v>13.229961006095005</v>
      </c>
      <c r="M39" s="46">
        <f t="shared" ref="M39" si="79">2*SQRT(((1+20/I39)/2)^2+(1.32*STDEV(H39:H41)/SQRT(3))^2)</f>
        <v>1.4521306950119588</v>
      </c>
      <c r="N39" s="31">
        <v>43.991</v>
      </c>
      <c r="O39" s="6">
        <v>44.591000000000001</v>
      </c>
      <c r="P39" s="6">
        <f t="shared" si="5"/>
        <v>44.290999999999997</v>
      </c>
      <c r="Q39" s="47">
        <f t="shared" ref="Q39" si="80">AVERAGE(P39:P41)</f>
        <v>44.385833333333331</v>
      </c>
      <c r="R39" s="37">
        <v>945.10199999999998</v>
      </c>
      <c r="S39" s="47">
        <f t="shared" ref="S39" si="81">AVERAGE(R39:R41)</f>
        <v>941.14800000000002</v>
      </c>
      <c r="T39" s="46">
        <f t="shared" ref="T39" si="82">+U39*S39/100</f>
        <v>14.22145419743439</v>
      </c>
      <c r="U39" s="46">
        <f t="shared" ref="U39" si="83">2*SQRT(((1+20/Q39)/2)^2+(1.32*STDEV(P39:P41)/SQRT(3))^2)</f>
        <v>1.5110752185027638</v>
      </c>
      <c r="V39" s="4" t="s">
        <v>80</v>
      </c>
    </row>
    <row r="40" spans="1:22" x14ac:dyDescent="0.25">
      <c r="A40" s="7" t="s">
        <v>27</v>
      </c>
      <c r="B40" s="8" t="s">
        <v>45</v>
      </c>
      <c r="C40" s="7">
        <v>2</v>
      </c>
      <c r="D40" s="8">
        <v>9.81</v>
      </c>
      <c r="E40" s="7" t="s">
        <v>15</v>
      </c>
      <c r="F40" s="9">
        <v>45.164999999999999</v>
      </c>
      <c r="G40" s="9">
        <v>44.857999999999997</v>
      </c>
      <c r="H40" s="9">
        <f t="shared" si="4"/>
        <v>45.011499999999998</v>
      </c>
      <c r="I40" s="47"/>
      <c r="J40" s="9">
        <v>915.08799999999997</v>
      </c>
      <c r="K40" s="47"/>
      <c r="L40" s="46"/>
      <c r="M40" s="46"/>
      <c r="N40" s="43">
        <v>44.133000000000003</v>
      </c>
      <c r="O40" s="9">
        <v>44.203000000000003</v>
      </c>
      <c r="P40" s="9">
        <f t="shared" si="5"/>
        <v>44.168000000000006</v>
      </c>
      <c r="Q40" s="47"/>
      <c r="R40" s="36">
        <v>950.37300000000005</v>
      </c>
      <c r="S40" s="47"/>
      <c r="T40" s="46"/>
      <c r="U40" s="46"/>
      <c r="V40" s="7"/>
    </row>
    <row r="41" spans="1:22" x14ac:dyDescent="0.25">
      <c r="A41" s="10" t="s">
        <v>27</v>
      </c>
      <c r="B41" s="11" t="s">
        <v>45</v>
      </c>
      <c r="C41" s="10">
        <v>3</v>
      </c>
      <c r="D41" s="11">
        <v>9.81</v>
      </c>
      <c r="E41" s="10" t="s">
        <v>15</v>
      </c>
      <c r="F41" s="12">
        <v>45.171999999999997</v>
      </c>
      <c r="G41" s="12">
        <v>45.268000000000001</v>
      </c>
      <c r="H41" s="12">
        <f t="shared" si="4"/>
        <v>45.22</v>
      </c>
      <c r="I41" s="47"/>
      <c r="J41" s="12">
        <v>906.66899999999998</v>
      </c>
      <c r="K41" s="47"/>
      <c r="L41" s="46"/>
      <c r="M41" s="46"/>
      <c r="N41" s="30">
        <v>44.82</v>
      </c>
      <c r="O41" s="12">
        <v>44.576999999999998</v>
      </c>
      <c r="P41" s="12">
        <f t="shared" si="5"/>
        <v>44.698499999999996</v>
      </c>
      <c r="Q41" s="47"/>
      <c r="R41" s="41">
        <v>927.96900000000005</v>
      </c>
      <c r="S41" s="47"/>
      <c r="T41" s="46"/>
      <c r="U41" s="46"/>
      <c r="V41" s="10"/>
    </row>
    <row r="42" spans="1:22" x14ac:dyDescent="0.25">
      <c r="A42" s="3" t="s">
        <v>22</v>
      </c>
      <c r="B42" s="13" t="s">
        <v>46</v>
      </c>
      <c r="C42" s="3">
        <v>1</v>
      </c>
      <c r="D42" s="13">
        <v>19.62</v>
      </c>
      <c r="E42" s="3" t="s">
        <v>11</v>
      </c>
      <c r="F42" s="14">
        <v>190.78899999999999</v>
      </c>
      <c r="G42" s="14">
        <v>189.096</v>
      </c>
      <c r="H42" s="14">
        <f t="shared" si="4"/>
        <v>189.9425</v>
      </c>
      <c r="I42" s="48">
        <f>AVERAGE(H42:H44)</f>
        <v>189.31566666666666</v>
      </c>
      <c r="J42" s="14">
        <v>102.777</v>
      </c>
      <c r="K42" s="49">
        <f t="shared" si="22"/>
        <v>103.47199999999999</v>
      </c>
      <c r="L42" s="45">
        <f t="shared" ref="L42" si="84">+M42*K42/100</f>
        <v>2.6369649558323833</v>
      </c>
      <c r="M42" s="45">
        <f t="shared" ref="M42" si="85">2*SQRT(((1+20/I42)/2)^2+(1.32*STDEV(H42:H44)/SQRT(3))^2)</f>
        <v>2.5484816721744856</v>
      </c>
      <c r="N42" s="35">
        <v>191.047</v>
      </c>
      <c r="O42" s="14">
        <v>189.24199999999999</v>
      </c>
      <c r="P42" s="14">
        <f t="shared" si="5"/>
        <v>190.14449999999999</v>
      </c>
      <c r="Q42" s="48">
        <f>AVERAGE(P42:P44)</f>
        <v>189.65833333333333</v>
      </c>
      <c r="R42" s="38">
        <v>102.55800000000001</v>
      </c>
      <c r="S42" s="49">
        <f t="shared" ref="S42:S54" si="86">AVERAGE(R42:R44)</f>
        <v>103.09699999999999</v>
      </c>
      <c r="T42" s="45">
        <f t="shared" ref="T42" si="87">+U42*S42/100</f>
        <v>2.5560494803682259</v>
      </c>
      <c r="U42" s="45">
        <f t="shared" ref="U42" si="88">2*SQRT(((1+20/Q42)/2)^2+(1.32*STDEV(P42:P44)/SQRT(3))^2)</f>
        <v>2.4792665939534864</v>
      </c>
      <c r="V42" s="3" t="s">
        <v>90</v>
      </c>
    </row>
    <row r="43" spans="1:22" x14ac:dyDescent="0.25">
      <c r="A43" s="15" t="s">
        <v>22</v>
      </c>
      <c r="B43" t="s">
        <v>46</v>
      </c>
      <c r="C43" s="15">
        <v>2</v>
      </c>
      <c r="D43">
        <v>19.62</v>
      </c>
      <c r="E43" s="15" t="s">
        <v>11</v>
      </c>
      <c r="F43" s="16">
        <v>188.815</v>
      </c>
      <c r="G43" s="16">
        <v>186.37899999999999</v>
      </c>
      <c r="H43" s="16">
        <f t="shared" si="4"/>
        <v>187.59699999999998</v>
      </c>
      <c r="I43" s="48"/>
      <c r="J43" s="16">
        <v>105.363</v>
      </c>
      <c r="K43" s="49"/>
      <c r="L43" s="45"/>
      <c r="M43" s="45"/>
      <c r="N43" s="42">
        <v>188.96</v>
      </c>
      <c r="O43" s="16">
        <v>187.083</v>
      </c>
      <c r="P43" s="16">
        <f t="shared" si="5"/>
        <v>188.0215</v>
      </c>
      <c r="Q43" s="48"/>
      <c r="R43" s="39">
        <v>104.887</v>
      </c>
      <c r="S43" s="49"/>
      <c r="T43" s="45"/>
      <c r="U43" s="45"/>
      <c r="V43" s="15"/>
    </row>
    <row r="44" spans="1:22" x14ac:dyDescent="0.25">
      <c r="A44" s="17" t="s">
        <v>22</v>
      </c>
      <c r="B44" s="18" t="s">
        <v>46</v>
      </c>
      <c r="C44" s="17">
        <v>3</v>
      </c>
      <c r="D44" s="18">
        <v>19.62</v>
      </c>
      <c r="E44" s="17" t="s">
        <v>11</v>
      </c>
      <c r="F44" s="19">
        <v>190.90299999999999</v>
      </c>
      <c r="G44" s="19">
        <v>189.91200000000001</v>
      </c>
      <c r="H44" s="19">
        <f t="shared" si="4"/>
        <v>190.4075</v>
      </c>
      <c r="I44" s="48"/>
      <c r="J44" s="19">
        <v>102.276</v>
      </c>
      <c r="K44" s="49"/>
      <c r="L44" s="45"/>
      <c r="M44" s="45"/>
      <c r="N44" s="44">
        <v>191.346</v>
      </c>
      <c r="O44" s="19">
        <v>190.27199999999999</v>
      </c>
      <c r="P44" s="16">
        <f t="shared" si="5"/>
        <v>190.809</v>
      </c>
      <c r="Q44" s="48"/>
      <c r="R44" s="40">
        <v>101.846</v>
      </c>
      <c r="S44" s="49"/>
      <c r="T44" s="45"/>
      <c r="U44" s="45"/>
      <c r="V44" s="17"/>
    </row>
    <row r="45" spans="1:22" x14ac:dyDescent="0.25">
      <c r="A45" s="3" t="s">
        <v>24</v>
      </c>
      <c r="B45" s="13" t="s">
        <v>46</v>
      </c>
      <c r="C45" s="3">
        <v>1</v>
      </c>
      <c r="D45" s="13">
        <v>19.62</v>
      </c>
      <c r="E45" s="3" t="s">
        <v>11</v>
      </c>
      <c r="F45" s="14">
        <v>108.2</v>
      </c>
      <c r="G45" s="14">
        <v>108.943</v>
      </c>
      <c r="H45" s="14">
        <f t="shared" si="4"/>
        <v>108.5715</v>
      </c>
      <c r="I45" s="48">
        <f t="shared" ref="I45" si="89">AVERAGE(H45:H47)</f>
        <v>108.05383333333333</v>
      </c>
      <c r="J45" s="14">
        <v>314.56299999999999</v>
      </c>
      <c r="K45" s="49">
        <f t="shared" si="22"/>
        <v>317.59700000000004</v>
      </c>
      <c r="L45" s="45">
        <f t="shared" ref="L45" si="90">+M45*K45/100</f>
        <v>4.4174769629110644</v>
      </c>
      <c r="M45" s="45">
        <f t="shared" ref="M45" si="91">2*SQRT(((1+20/I45)/2)^2+(1.32*STDEV(H45:H47)/SQRT(3))^2)</f>
        <v>1.3909063885713857</v>
      </c>
      <c r="N45" s="35">
        <v>108.206</v>
      </c>
      <c r="O45" s="14">
        <v>109.032</v>
      </c>
      <c r="P45" s="14">
        <f t="shared" si="5"/>
        <v>108.619</v>
      </c>
      <c r="Q45" s="48">
        <f t="shared" ref="Q45" si="92">AVERAGE(P45:P47)</f>
        <v>108.08016666666667</v>
      </c>
      <c r="R45" s="38">
        <v>314.28800000000001</v>
      </c>
      <c r="S45" s="49">
        <f t="shared" si="86"/>
        <v>317.44299999999998</v>
      </c>
      <c r="T45" s="45">
        <f t="shared" ref="T45" si="93">+U45*S45/100</f>
        <v>4.4086132921458852</v>
      </c>
      <c r="U45" s="45">
        <f t="shared" ref="U45" si="94">2*SQRT(((1+20/Q45)/2)^2+(1.32*STDEV(P45:P47)/SQRT(3))^2)</f>
        <v>1.388788945462929</v>
      </c>
      <c r="V45" s="3" t="s">
        <v>78</v>
      </c>
    </row>
    <row r="46" spans="1:22" x14ac:dyDescent="0.25">
      <c r="A46" s="15" t="s">
        <v>24</v>
      </c>
      <c r="B46" t="s">
        <v>46</v>
      </c>
      <c r="C46" s="15">
        <v>2</v>
      </c>
      <c r="D46">
        <v>19.62</v>
      </c>
      <c r="E46" s="15" t="s">
        <v>11</v>
      </c>
      <c r="F46" s="16">
        <v>107.881</v>
      </c>
      <c r="G46" s="16">
        <v>108.039</v>
      </c>
      <c r="H46" s="16">
        <f t="shared" si="4"/>
        <v>107.96000000000001</v>
      </c>
      <c r="I46" s="48"/>
      <c r="J46" s="16">
        <v>318.137</v>
      </c>
      <c r="K46" s="49"/>
      <c r="L46" s="45"/>
      <c r="M46" s="45"/>
      <c r="N46" s="42">
        <v>107.664</v>
      </c>
      <c r="O46" s="16">
        <v>108.136</v>
      </c>
      <c r="P46" s="16">
        <f t="shared" si="5"/>
        <v>107.9</v>
      </c>
      <c r="Q46" s="48"/>
      <c r="R46" s="39">
        <v>318.49099999999999</v>
      </c>
      <c r="S46" s="49"/>
      <c r="T46" s="45"/>
      <c r="U46" s="45"/>
      <c r="V46" s="15"/>
    </row>
    <row r="47" spans="1:22" x14ac:dyDescent="0.25">
      <c r="A47" s="17" t="s">
        <v>24</v>
      </c>
      <c r="B47" s="18" t="s">
        <v>46</v>
      </c>
      <c r="C47" s="17">
        <v>3</v>
      </c>
      <c r="D47" s="18">
        <v>19.62</v>
      </c>
      <c r="E47" s="17" t="s">
        <v>11</v>
      </c>
      <c r="F47" s="19">
        <v>107.52</v>
      </c>
      <c r="G47" s="19">
        <v>107.74</v>
      </c>
      <c r="H47" s="19">
        <f t="shared" si="4"/>
        <v>107.63</v>
      </c>
      <c r="I47" s="48"/>
      <c r="J47" s="19">
        <v>320.09100000000001</v>
      </c>
      <c r="K47" s="49"/>
      <c r="L47" s="45"/>
      <c r="M47" s="45"/>
      <c r="N47" s="44">
        <v>107.642</v>
      </c>
      <c r="O47" s="19">
        <v>107.801</v>
      </c>
      <c r="P47" s="16">
        <f t="shared" si="5"/>
        <v>107.72149999999999</v>
      </c>
      <c r="Q47" s="48"/>
      <c r="R47" s="40">
        <v>319.55</v>
      </c>
      <c r="S47" s="49"/>
      <c r="T47" s="45"/>
      <c r="U47" s="45"/>
      <c r="V47" s="17"/>
    </row>
    <row r="48" spans="1:22" x14ac:dyDescent="0.25">
      <c r="A48" s="3" t="s">
        <v>25</v>
      </c>
      <c r="B48" s="13" t="s">
        <v>46</v>
      </c>
      <c r="C48" s="3">
        <v>1</v>
      </c>
      <c r="D48" s="13">
        <v>19.62</v>
      </c>
      <c r="E48" s="3" t="s">
        <v>15</v>
      </c>
      <c r="F48" s="14">
        <v>84.549000000000007</v>
      </c>
      <c r="G48" s="14">
        <v>84.795000000000002</v>
      </c>
      <c r="H48" s="14">
        <f t="shared" si="4"/>
        <v>84.671999999999997</v>
      </c>
      <c r="I48" s="48">
        <f t="shared" ref="I48" si="95">AVERAGE(H48:H50)</f>
        <v>84.926666666666662</v>
      </c>
      <c r="J48" s="14">
        <v>517.202</v>
      </c>
      <c r="K48" s="49">
        <f t="shared" si="22"/>
        <v>514.11199999999997</v>
      </c>
      <c r="L48" s="45">
        <f t="shared" ref="L48" si="96">+M48*K48/100</f>
        <v>6.5827561859813031</v>
      </c>
      <c r="M48" s="45">
        <f t="shared" ref="M48" si="97">2*SQRT(((1+20/I48)/2)^2+(1.32*STDEV(H48:H50)/SQRT(3))^2)</f>
        <v>1.2804128645083763</v>
      </c>
      <c r="N48" s="35">
        <v>84.358000000000004</v>
      </c>
      <c r="O48" s="14">
        <v>84.768000000000001</v>
      </c>
      <c r="P48" s="14">
        <f t="shared" si="5"/>
        <v>84.563000000000002</v>
      </c>
      <c r="Q48" s="48">
        <f t="shared" ref="Q48" si="98">AVERAGE(P48:P50)</f>
        <v>84.864166666666677</v>
      </c>
      <c r="R48" s="38">
        <v>518.53599999999994</v>
      </c>
      <c r="S48" s="49">
        <f t="shared" si="86"/>
        <v>514.84199999999998</v>
      </c>
      <c r="T48" s="45">
        <f t="shared" ref="T48" si="99">+U48*S48/100</f>
        <v>6.6848630188621989</v>
      </c>
      <c r="U48" s="45">
        <f t="shared" ref="U48" si="100">2*SQRT(((1+20/Q48)/2)^2+(1.32*STDEV(P48:P50)/SQRT(3))^2)</f>
        <v>1.2984300074318331</v>
      </c>
      <c r="V48" s="3" t="s">
        <v>94</v>
      </c>
    </row>
    <row r="49" spans="1:22" x14ac:dyDescent="0.25">
      <c r="A49" s="15" t="s">
        <v>25</v>
      </c>
      <c r="B49" t="s">
        <v>46</v>
      </c>
      <c r="C49" s="15">
        <v>2</v>
      </c>
      <c r="D49">
        <v>19.62</v>
      </c>
      <c r="E49" s="33" t="s">
        <v>15</v>
      </c>
      <c r="F49" s="42">
        <v>85.103999999999999</v>
      </c>
      <c r="G49" s="16">
        <v>85.004000000000005</v>
      </c>
      <c r="H49" s="16">
        <f t="shared" si="4"/>
        <v>85.054000000000002</v>
      </c>
      <c r="I49" s="48"/>
      <c r="J49" s="16">
        <v>512.56700000000001</v>
      </c>
      <c r="K49" s="49"/>
      <c r="L49" s="45"/>
      <c r="M49" s="45"/>
      <c r="N49" s="42">
        <v>85.039000000000001</v>
      </c>
      <c r="O49" s="16">
        <v>84.948999999999998</v>
      </c>
      <c r="P49" s="16">
        <f t="shared" si="5"/>
        <v>84.994</v>
      </c>
      <c r="Q49" s="48"/>
      <c r="R49" s="39">
        <v>513.19399999999996</v>
      </c>
      <c r="S49" s="49"/>
      <c r="T49" s="45"/>
      <c r="U49" s="45"/>
      <c r="V49" s="15"/>
    </row>
    <row r="50" spans="1:22" x14ac:dyDescent="0.25">
      <c r="A50" s="17" t="s">
        <v>25</v>
      </c>
      <c r="B50" s="18" t="s">
        <v>46</v>
      </c>
      <c r="C50" s="17">
        <v>3</v>
      </c>
      <c r="D50" s="18">
        <v>19.62</v>
      </c>
      <c r="E50" s="17" t="s">
        <v>15</v>
      </c>
      <c r="F50" s="19">
        <v>85.007000000000005</v>
      </c>
      <c r="G50" s="19">
        <v>85.100999999999999</v>
      </c>
      <c r="H50" s="19">
        <f t="shared" si="4"/>
        <v>85.054000000000002</v>
      </c>
      <c r="I50" s="48"/>
      <c r="J50" s="19">
        <v>512.56700000000001</v>
      </c>
      <c r="K50" s="49"/>
      <c r="L50" s="45"/>
      <c r="M50" s="45"/>
      <c r="N50" s="44">
        <v>84.98</v>
      </c>
      <c r="O50" s="19">
        <v>85.090999999999994</v>
      </c>
      <c r="P50" s="19">
        <f t="shared" si="5"/>
        <v>85.035499999999999</v>
      </c>
      <c r="Q50" s="48"/>
      <c r="R50" s="40">
        <v>512.79600000000005</v>
      </c>
      <c r="S50" s="49"/>
      <c r="T50" s="45"/>
      <c r="U50" s="45"/>
      <c r="V50" s="17"/>
    </row>
    <row r="51" spans="1:22" x14ac:dyDescent="0.25">
      <c r="A51" s="3" t="s">
        <v>26</v>
      </c>
      <c r="B51" s="13" t="s">
        <v>46</v>
      </c>
      <c r="C51" s="3">
        <v>1</v>
      </c>
      <c r="D51" s="13">
        <v>19.62</v>
      </c>
      <c r="E51" s="3" t="s">
        <v>15</v>
      </c>
      <c r="F51" s="14">
        <v>70.590999999999994</v>
      </c>
      <c r="G51" s="14">
        <v>71.012</v>
      </c>
      <c r="H51" s="14">
        <f t="shared" si="4"/>
        <v>70.801500000000004</v>
      </c>
      <c r="I51" s="48">
        <f t="shared" ref="I51" si="101">AVERAGE(H51:H53)</f>
        <v>70.805666666666667</v>
      </c>
      <c r="J51" s="14">
        <v>739.69899999999996</v>
      </c>
      <c r="K51" s="49">
        <f t="shared" si="22"/>
        <v>739.61333333333334</v>
      </c>
      <c r="L51" s="45">
        <f t="shared" ref="L51" si="102">+M51*K51/100</f>
        <v>9.5237184742082199</v>
      </c>
      <c r="M51" s="45">
        <f t="shared" ref="M51" si="103">2*SQRT(((1+20/I51)/2)^2+(1.32*STDEV(H51:H53)/SQRT(3))^2)</f>
        <v>1.2876618153009978</v>
      </c>
      <c r="N51" s="35">
        <v>70.466999999999999</v>
      </c>
      <c r="O51" s="14">
        <v>71.052999999999997</v>
      </c>
      <c r="P51" s="14">
        <f t="shared" si="5"/>
        <v>70.759999999999991</v>
      </c>
      <c r="Q51" s="48">
        <f t="shared" ref="Q51" si="104">AVERAGE(P51:P53)</f>
        <v>70.558499999999995</v>
      </c>
      <c r="R51" s="38">
        <v>740.56700000000001</v>
      </c>
      <c r="S51" s="49">
        <f t="shared" si="86"/>
        <v>744.81700000000001</v>
      </c>
      <c r="T51" s="45">
        <f t="shared" ref="T51" si="105">+U51*S51/100</f>
        <v>9.8038609534444774</v>
      </c>
      <c r="U51" s="45">
        <f t="shared" ref="U51" si="106">2*SQRT(((1+20/Q51)/2)^2+(1.32*STDEV(P51:P53)/SQRT(3))^2)</f>
        <v>1.3162778176981027</v>
      </c>
      <c r="V51" s="3" t="s">
        <v>84</v>
      </c>
    </row>
    <row r="52" spans="1:22" x14ac:dyDescent="0.25">
      <c r="A52" s="15" t="s">
        <v>26</v>
      </c>
      <c r="B52" t="s">
        <v>46</v>
      </c>
      <c r="C52" s="15">
        <v>2</v>
      </c>
      <c r="D52">
        <v>19.62</v>
      </c>
      <c r="E52" s="15" t="s">
        <v>15</v>
      </c>
      <c r="F52" s="16">
        <v>70.983000000000004</v>
      </c>
      <c r="G52" s="16">
        <v>70.784000000000006</v>
      </c>
      <c r="H52" s="16">
        <f t="shared" si="4"/>
        <v>70.883499999999998</v>
      </c>
      <c r="I52" s="48"/>
      <c r="J52" s="16">
        <v>737.98800000000006</v>
      </c>
      <c r="K52" s="49"/>
      <c r="L52" s="45"/>
      <c r="M52" s="45"/>
      <c r="N52" s="42">
        <v>71.025000000000006</v>
      </c>
      <c r="O52" s="16">
        <v>70.049000000000007</v>
      </c>
      <c r="P52" s="16">
        <f t="shared" si="5"/>
        <v>70.537000000000006</v>
      </c>
      <c r="Q52" s="48"/>
      <c r="R52" s="39">
        <v>745.25599999999997</v>
      </c>
      <c r="S52" s="49"/>
      <c r="T52" s="45"/>
      <c r="U52" s="45"/>
      <c r="V52" s="15"/>
    </row>
    <row r="53" spans="1:22" x14ac:dyDescent="0.25">
      <c r="A53" s="17" t="s">
        <v>26</v>
      </c>
      <c r="B53" s="18" t="s">
        <v>46</v>
      </c>
      <c r="C53" s="17">
        <v>3</v>
      </c>
      <c r="D53" s="18">
        <v>19.62</v>
      </c>
      <c r="E53" s="17" t="s">
        <v>15</v>
      </c>
      <c r="F53" s="19">
        <v>70.852999999999994</v>
      </c>
      <c r="G53" s="19">
        <v>70.611000000000004</v>
      </c>
      <c r="H53" s="19">
        <f t="shared" si="4"/>
        <v>70.731999999999999</v>
      </c>
      <c r="I53" s="48"/>
      <c r="J53" s="19">
        <v>741.15300000000002</v>
      </c>
      <c r="K53" s="49"/>
      <c r="L53" s="45"/>
      <c r="M53" s="45"/>
      <c r="N53" s="44">
        <v>70.55</v>
      </c>
      <c r="O53" s="19">
        <v>70.206999999999994</v>
      </c>
      <c r="P53" s="19">
        <f t="shared" si="5"/>
        <v>70.378500000000003</v>
      </c>
      <c r="Q53" s="48"/>
      <c r="R53" s="40">
        <v>748.62800000000004</v>
      </c>
      <c r="S53" s="49"/>
      <c r="T53" s="45"/>
      <c r="U53" s="45"/>
      <c r="V53" s="17"/>
    </row>
    <row r="54" spans="1:22" x14ac:dyDescent="0.25">
      <c r="A54" s="3" t="s">
        <v>27</v>
      </c>
      <c r="B54" s="13" t="s">
        <v>46</v>
      </c>
      <c r="C54" s="3">
        <v>1</v>
      </c>
      <c r="D54" s="13">
        <v>19.62</v>
      </c>
      <c r="E54" s="3" t="s">
        <v>15</v>
      </c>
      <c r="F54" s="14">
        <v>63.552</v>
      </c>
      <c r="G54" s="14">
        <v>63.767000000000003</v>
      </c>
      <c r="H54" s="14">
        <f t="shared" si="4"/>
        <v>63.659500000000001</v>
      </c>
      <c r="I54" s="48">
        <f t="shared" ref="I54" si="107">AVERAGE(H54:H56)</f>
        <v>63.258166666666661</v>
      </c>
      <c r="J54" s="14">
        <v>914.98400000000004</v>
      </c>
      <c r="K54" s="49">
        <f t="shared" si="22"/>
        <v>926.70433333333324</v>
      </c>
      <c r="L54" s="45">
        <f t="shared" ref="L54" si="108">+M54*K54/100</f>
        <v>13.440582178867457</v>
      </c>
      <c r="M54" s="45">
        <f t="shared" ref="M54" si="109">2*SQRT(((1+20/I54)/2)^2+(1.32*STDEV(H54:H56)/SQRT(3))^2)</f>
        <v>1.450363583660174</v>
      </c>
      <c r="N54" s="35">
        <v>63.73</v>
      </c>
      <c r="O54" s="14">
        <v>63.764000000000003</v>
      </c>
      <c r="P54" s="14">
        <f t="shared" si="5"/>
        <v>63.747</v>
      </c>
      <c r="Q54" s="48">
        <f t="shared" ref="Q54" si="110">AVERAGE(P54:P56)</f>
        <v>63.174666666666667</v>
      </c>
      <c r="R54" s="38">
        <v>912.47299999999996</v>
      </c>
      <c r="S54" s="49">
        <f t="shared" si="86"/>
        <v>929.24400000000003</v>
      </c>
      <c r="T54" s="45">
        <f t="shared" ref="T54" si="111">+U54*S54/100</f>
        <v>14.965247117476776</v>
      </c>
      <c r="U54" s="45">
        <f t="shared" ref="U54" si="112">2*SQRT(((1+20/Q54)/2)^2+(1.32*STDEV(P54:P56)/SQRT(3))^2)</f>
        <v>1.6104755174611594</v>
      </c>
      <c r="V54" s="3" t="s">
        <v>81</v>
      </c>
    </row>
    <row r="55" spans="1:22" x14ac:dyDescent="0.25">
      <c r="A55" s="15" t="s">
        <v>27</v>
      </c>
      <c r="B55" t="s">
        <v>46</v>
      </c>
      <c r="C55" s="15">
        <v>2</v>
      </c>
      <c r="D55">
        <v>19.62</v>
      </c>
      <c r="E55" s="15" t="s">
        <v>15</v>
      </c>
      <c r="F55" s="16">
        <v>63.335999999999999</v>
      </c>
      <c r="G55" s="16">
        <v>63.173999999999999</v>
      </c>
      <c r="H55" s="16">
        <f t="shared" si="4"/>
        <v>63.254999999999995</v>
      </c>
      <c r="I55" s="48"/>
      <c r="J55" s="16">
        <v>926.72299999999996</v>
      </c>
      <c r="K55" s="49"/>
      <c r="L55" s="45"/>
      <c r="M55" s="45"/>
      <c r="N55" s="42">
        <v>63.35</v>
      </c>
      <c r="O55" s="16">
        <v>63.133000000000003</v>
      </c>
      <c r="P55" s="16">
        <f t="shared" si="5"/>
        <v>63.241500000000002</v>
      </c>
      <c r="Q55" s="48"/>
      <c r="R55" s="39">
        <v>927.10400000000004</v>
      </c>
      <c r="S55" s="49"/>
      <c r="T55" s="45"/>
      <c r="U55" s="45"/>
      <c r="V55" s="15"/>
    </row>
    <row r="56" spans="1:22" x14ac:dyDescent="0.25">
      <c r="A56" s="17" t="s">
        <v>27</v>
      </c>
      <c r="B56" s="18" t="s">
        <v>46</v>
      </c>
      <c r="C56" s="17">
        <v>3</v>
      </c>
      <c r="D56" s="18">
        <v>19.62</v>
      </c>
      <c r="E56" s="17" t="s">
        <v>15</v>
      </c>
      <c r="F56" s="19">
        <v>62.591999999999999</v>
      </c>
      <c r="G56" s="19">
        <v>63.128</v>
      </c>
      <c r="H56" s="19">
        <f t="shared" si="4"/>
        <v>62.86</v>
      </c>
      <c r="I56" s="48"/>
      <c r="J56" s="19">
        <v>938.40599999999995</v>
      </c>
      <c r="K56" s="49"/>
      <c r="L56" s="45"/>
      <c r="M56" s="45"/>
      <c r="N56" s="44">
        <v>62.142000000000003</v>
      </c>
      <c r="O56" s="19">
        <v>62.929000000000002</v>
      </c>
      <c r="P56" s="19">
        <f t="shared" si="5"/>
        <v>62.535499999999999</v>
      </c>
      <c r="Q56" s="48"/>
      <c r="R56" s="40">
        <v>948.15499999999997</v>
      </c>
      <c r="S56" s="49"/>
      <c r="T56" s="45"/>
      <c r="U56" s="45"/>
      <c r="V56" s="17"/>
    </row>
    <row r="59" spans="1:22" x14ac:dyDescent="0.25">
      <c r="F59" t="s">
        <v>54</v>
      </c>
    </row>
    <row r="60" spans="1:22" x14ac:dyDescent="0.25">
      <c r="E60" t="s">
        <v>58</v>
      </c>
      <c r="F60" t="s">
        <v>59</v>
      </c>
    </row>
  </sheetData>
  <mergeCells count="152">
    <mergeCell ref="A1:A2"/>
    <mergeCell ref="B1:B2"/>
    <mergeCell ref="C1:C2"/>
    <mergeCell ref="D1:D2"/>
    <mergeCell ref="E1:E2"/>
    <mergeCell ref="F1:M1"/>
    <mergeCell ref="V1:V2"/>
    <mergeCell ref="N1:U1"/>
    <mergeCell ref="I3:I5"/>
    <mergeCell ref="Q3:Q5"/>
    <mergeCell ref="S3:S5"/>
    <mergeCell ref="T3:T5"/>
    <mergeCell ref="U3:U5"/>
    <mergeCell ref="I6:I8"/>
    <mergeCell ref="I9:I11"/>
    <mergeCell ref="I12:I14"/>
    <mergeCell ref="I15:I17"/>
    <mergeCell ref="L15:L17"/>
    <mergeCell ref="M3:M5"/>
    <mergeCell ref="M6:M8"/>
    <mergeCell ref="M9:M11"/>
    <mergeCell ref="I54:I56"/>
    <mergeCell ref="I36:I38"/>
    <mergeCell ref="I39:I41"/>
    <mergeCell ref="I42:I44"/>
    <mergeCell ref="I45:I47"/>
    <mergeCell ref="I48:I50"/>
    <mergeCell ref="I51:I53"/>
    <mergeCell ref="I18:I20"/>
    <mergeCell ref="I21:I23"/>
    <mergeCell ref="I24:I26"/>
    <mergeCell ref="I27:I29"/>
    <mergeCell ref="I30:I32"/>
    <mergeCell ref="I33:I35"/>
    <mergeCell ref="K3:K5"/>
    <mergeCell ref="L3:L5"/>
    <mergeCell ref="K6:K8"/>
    <mergeCell ref="L6:L8"/>
    <mergeCell ref="K9:K11"/>
    <mergeCell ref="L9:L11"/>
    <mergeCell ref="K12:K14"/>
    <mergeCell ref="L12:L14"/>
    <mergeCell ref="K15:K17"/>
    <mergeCell ref="K27:K29"/>
    <mergeCell ref="L27:L29"/>
    <mergeCell ref="K30:K32"/>
    <mergeCell ref="L30:L32"/>
    <mergeCell ref="K33:K35"/>
    <mergeCell ref="L33:L35"/>
    <mergeCell ref="K18:K20"/>
    <mergeCell ref="L18:L20"/>
    <mergeCell ref="K21:K23"/>
    <mergeCell ref="L21:L23"/>
    <mergeCell ref="K24:K26"/>
    <mergeCell ref="L24:L26"/>
    <mergeCell ref="K54:K56"/>
    <mergeCell ref="L54:L56"/>
    <mergeCell ref="K45:K47"/>
    <mergeCell ref="L45:L47"/>
    <mergeCell ref="K48:K50"/>
    <mergeCell ref="L48:L50"/>
    <mergeCell ref="K51:K53"/>
    <mergeCell ref="L51:L53"/>
    <mergeCell ref="K36:K38"/>
    <mergeCell ref="L36:L38"/>
    <mergeCell ref="K39:K41"/>
    <mergeCell ref="L39:L41"/>
    <mergeCell ref="K42:K44"/>
    <mergeCell ref="L42:L44"/>
    <mergeCell ref="M51:M53"/>
    <mergeCell ref="M54:M56"/>
    <mergeCell ref="M30:M32"/>
    <mergeCell ref="M33:M35"/>
    <mergeCell ref="M36:M38"/>
    <mergeCell ref="M39:M41"/>
    <mergeCell ref="M42:M44"/>
    <mergeCell ref="M45:M47"/>
    <mergeCell ref="M12:M14"/>
    <mergeCell ref="M15:M17"/>
    <mergeCell ref="M18:M20"/>
    <mergeCell ref="M21:M23"/>
    <mergeCell ref="M24:M26"/>
    <mergeCell ref="M27:M29"/>
    <mergeCell ref="Q6:Q8"/>
    <mergeCell ref="S6:S8"/>
    <mergeCell ref="T6:T8"/>
    <mergeCell ref="U6:U8"/>
    <mergeCell ref="M48:M50"/>
    <mergeCell ref="Q15:Q17"/>
    <mergeCell ref="S15:S17"/>
    <mergeCell ref="T15:T17"/>
    <mergeCell ref="U15:U17"/>
    <mergeCell ref="Q18:Q20"/>
    <mergeCell ref="S18:S20"/>
    <mergeCell ref="T18:T20"/>
    <mergeCell ref="U18:U20"/>
    <mergeCell ref="Q9:Q11"/>
    <mergeCell ref="S9:S11"/>
    <mergeCell ref="T9:T11"/>
    <mergeCell ref="U9:U11"/>
    <mergeCell ref="Q12:Q14"/>
    <mergeCell ref="S12:S14"/>
    <mergeCell ref="T12:T14"/>
    <mergeCell ref="U12:U14"/>
    <mergeCell ref="Q27:Q29"/>
    <mergeCell ref="S27:S29"/>
    <mergeCell ref="T27:T29"/>
    <mergeCell ref="U27:U29"/>
    <mergeCell ref="Q30:Q32"/>
    <mergeCell ref="S30:S32"/>
    <mergeCell ref="T30:T32"/>
    <mergeCell ref="U30:U32"/>
    <mergeCell ref="Q21:Q23"/>
    <mergeCell ref="S21:S23"/>
    <mergeCell ref="T21:T23"/>
    <mergeCell ref="U21:U23"/>
    <mergeCell ref="Q24:Q26"/>
    <mergeCell ref="S24:S26"/>
    <mergeCell ref="T24:T26"/>
    <mergeCell ref="U24:U26"/>
    <mergeCell ref="Q39:Q41"/>
    <mergeCell ref="S39:S41"/>
    <mergeCell ref="T39:T41"/>
    <mergeCell ref="U39:U41"/>
    <mergeCell ref="Q42:Q44"/>
    <mergeCell ref="S42:S44"/>
    <mergeCell ref="T42:T44"/>
    <mergeCell ref="U42:U44"/>
    <mergeCell ref="Q33:Q35"/>
    <mergeCell ref="S33:S35"/>
    <mergeCell ref="T33:T35"/>
    <mergeCell ref="U33:U35"/>
    <mergeCell ref="Q36:Q38"/>
    <mergeCell ref="S36:S38"/>
    <mergeCell ref="T36:T38"/>
    <mergeCell ref="U36:U38"/>
    <mergeCell ref="Q51:Q53"/>
    <mergeCell ref="S51:S53"/>
    <mergeCell ref="T51:T53"/>
    <mergeCell ref="U51:U53"/>
    <mergeCell ref="Q54:Q56"/>
    <mergeCell ref="S54:S56"/>
    <mergeCell ref="T54:T56"/>
    <mergeCell ref="U54:U56"/>
    <mergeCell ref="Q45:Q47"/>
    <mergeCell ref="S45:S47"/>
    <mergeCell ref="T45:T47"/>
    <mergeCell ref="U45:U47"/>
    <mergeCell ref="Q48:Q50"/>
    <mergeCell ref="S48:S50"/>
    <mergeCell ref="T48:T50"/>
    <mergeCell ref="U48:U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1CCA-1DC8-45CF-A445-231ACFAFA952}">
  <dimension ref="A1:W44"/>
  <sheetViews>
    <sheetView zoomScale="90" zoomScaleNormal="90" workbookViewId="0">
      <selection activeCell="W9" sqref="W9"/>
    </sheetView>
  </sheetViews>
  <sheetFormatPr defaultRowHeight="15" x14ac:dyDescent="0.25"/>
  <cols>
    <col min="2" max="2" width="13.85546875" customWidth="1"/>
    <col min="4" max="4" width="13.42578125" customWidth="1"/>
    <col min="6" max="6" width="14.85546875" customWidth="1"/>
    <col min="9" max="10" width="13.140625" bestFit="1" customWidth="1"/>
    <col min="12" max="12" width="13.28515625" customWidth="1"/>
    <col min="13" max="13" width="18.140625" bestFit="1" customWidth="1"/>
    <col min="14" max="14" width="19.5703125" bestFit="1" customWidth="1"/>
    <col min="17" max="18" width="13.140625" bestFit="1" customWidth="1"/>
    <col min="20" max="20" width="13" customWidth="1"/>
    <col min="21" max="21" width="18.140625" bestFit="1" customWidth="1"/>
    <col min="22" max="22" width="19.5703125" bestFit="1" customWidth="1"/>
    <col min="23" max="23" width="20.42578125" bestFit="1" customWidth="1"/>
  </cols>
  <sheetData>
    <row r="1" spans="1:23" ht="26.25" customHeight="1" x14ac:dyDescent="0.25">
      <c r="A1" s="51" t="s">
        <v>0</v>
      </c>
      <c r="B1" s="53" t="s">
        <v>57</v>
      </c>
      <c r="C1" s="51" t="s">
        <v>2</v>
      </c>
      <c r="D1" s="52" t="s">
        <v>34</v>
      </c>
      <c r="E1" s="55" t="s">
        <v>3</v>
      </c>
      <c r="F1" s="51" t="s">
        <v>4</v>
      </c>
      <c r="G1" s="50" t="s">
        <v>5</v>
      </c>
      <c r="H1" s="50"/>
      <c r="I1" s="50"/>
      <c r="J1" s="50"/>
      <c r="K1" s="50"/>
      <c r="L1" s="50"/>
      <c r="M1" s="50"/>
      <c r="N1" s="50"/>
      <c r="O1" s="50" t="s">
        <v>20</v>
      </c>
      <c r="P1" s="50"/>
      <c r="Q1" s="50"/>
      <c r="R1" s="50"/>
      <c r="S1" s="50"/>
      <c r="T1" s="50"/>
      <c r="U1" s="50"/>
      <c r="V1" s="50"/>
      <c r="W1" s="52" t="s">
        <v>39</v>
      </c>
    </row>
    <row r="2" spans="1:23" ht="30" x14ac:dyDescent="0.25">
      <c r="A2" s="52"/>
      <c r="B2" s="54"/>
      <c r="C2" s="52"/>
      <c r="D2" s="58"/>
      <c r="E2" s="56"/>
      <c r="F2" s="52"/>
      <c r="G2" s="2" t="s">
        <v>6</v>
      </c>
      <c r="H2" s="2" t="s">
        <v>7</v>
      </c>
      <c r="I2" s="20" t="s">
        <v>8</v>
      </c>
      <c r="J2" s="20" t="s">
        <v>8</v>
      </c>
      <c r="K2" s="2" t="s">
        <v>9</v>
      </c>
      <c r="L2" s="1" t="s">
        <v>17</v>
      </c>
      <c r="M2" s="1" t="s">
        <v>18</v>
      </c>
      <c r="N2" s="1" t="s">
        <v>19</v>
      </c>
      <c r="O2" s="2" t="s">
        <v>6</v>
      </c>
      <c r="P2" s="2" t="s">
        <v>7</v>
      </c>
      <c r="Q2" s="20" t="s">
        <v>8</v>
      </c>
      <c r="R2" s="20" t="s">
        <v>8</v>
      </c>
      <c r="S2" s="2" t="s">
        <v>9</v>
      </c>
      <c r="T2" s="1" t="s">
        <v>17</v>
      </c>
      <c r="U2" s="1" t="s">
        <v>18</v>
      </c>
      <c r="V2" s="1" t="s">
        <v>19</v>
      </c>
      <c r="W2" s="58"/>
    </row>
    <row r="3" spans="1:23" x14ac:dyDescent="0.25">
      <c r="A3" s="21" t="s">
        <v>10</v>
      </c>
      <c r="B3" s="4" t="s">
        <v>47</v>
      </c>
      <c r="C3" s="5">
        <v>1</v>
      </c>
      <c r="D3" s="4">
        <v>1</v>
      </c>
      <c r="E3" s="5">
        <v>49.05</v>
      </c>
      <c r="F3" s="4" t="s">
        <v>28</v>
      </c>
      <c r="G3" s="31">
        <v>209.976</v>
      </c>
      <c r="H3" s="6">
        <v>211.922</v>
      </c>
      <c r="I3" s="6">
        <f>(G3+H3)/2</f>
        <v>210.94900000000001</v>
      </c>
      <c r="J3" s="47">
        <f>AVERAGE(I3:I5)</f>
        <v>210.46250000000001</v>
      </c>
      <c r="K3" s="37">
        <v>141.49700000000001</v>
      </c>
      <c r="L3" s="47">
        <f>AVERAGE(K3:K5)</f>
        <v>142.16833333333332</v>
      </c>
      <c r="M3" s="46">
        <f>+N3*L3/100</f>
        <v>3.9648853905631243</v>
      </c>
      <c r="N3" s="46">
        <f>2*SQRT(((1+240/J3)/2)^2+(1.32*STDEV(I3:I5)/SQRT(3))^2)</f>
        <v>2.7888667592852077</v>
      </c>
      <c r="O3" s="31">
        <v>211.31800000000001</v>
      </c>
      <c r="P3" s="6">
        <v>213.35</v>
      </c>
      <c r="Q3" s="6">
        <f>(O3+P3)/2</f>
        <v>212.334</v>
      </c>
      <c r="R3" s="47">
        <f>AVERAGE(Q3:Q5)</f>
        <v>211.88283333333334</v>
      </c>
      <c r="S3" s="37">
        <v>139.636</v>
      </c>
      <c r="T3" s="47">
        <f>AVERAGE(S3:S5)</f>
        <v>140.24099999999999</v>
      </c>
      <c r="U3" s="46">
        <f>+V3*T3/100</f>
        <v>3.3498620315374201</v>
      </c>
      <c r="V3" s="46">
        <f>2*SQRT(((1+240/R3)/2)^2+(1.32*STDEV(Q3:Q5)/SQRT(3))^2)</f>
        <v>2.3886467092629262</v>
      </c>
      <c r="W3" s="4" t="s">
        <v>64</v>
      </c>
    </row>
    <row r="4" spans="1:23" x14ac:dyDescent="0.25">
      <c r="A4" s="23" t="s">
        <v>10</v>
      </c>
      <c r="B4" s="7" t="s">
        <v>47</v>
      </c>
      <c r="C4" s="8">
        <v>2</v>
      </c>
      <c r="D4" s="7">
        <v>1</v>
      </c>
      <c r="E4" s="8">
        <v>49.05</v>
      </c>
      <c r="F4" s="7" t="s">
        <v>28</v>
      </c>
      <c r="G4" s="43">
        <v>211.43600000000001</v>
      </c>
      <c r="H4" s="9">
        <v>211.19200000000001</v>
      </c>
      <c r="I4" s="9">
        <f t="shared" ref="I4:I11" si="0">(G4+H4)/2</f>
        <v>211.31400000000002</v>
      </c>
      <c r="J4" s="47"/>
      <c r="K4" s="36">
        <v>141.00299999999999</v>
      </c>
      <c r="L4" s="47"/>
      <c r="M4" s="46"/>
      <c r="N4" s="46"/>
      <c r="O4" s="43">
        <v>212.215</v>
      </c>
      <c r="P4" s="9">
        <v>212.27500000000001</v>
      </c>
      <c r="Q4" s="9">
        <f t="shared" ref="Q4:Q5" si="1">(O4+P4)/2</f>
        <v>212.245</v>
      </c>
      <c r="R4" s="47"/>
      <c r="S4" s="36">
        <v>139.75399999999999</v>
      </c>
      <c r="T4" s="47"/>
      <c r="U4" s="46"/>
      <c r="V4" s="46"/>
      <c r="W4" s="7"/>
    </row>
    <row r="5" spans="1:23" x14ac:dyDescent="0.25">
      <c r="A5" s="25" t="s">
        <v>10</v>
      </c>
      <c r="B5" s="10" t="s">
        <v>47</v>
      </c>
      <c r="C5" s="11">
        <v>3</v>
      </c>
      <c r="D5" s="10">
        <v>1</v>
      </c>
      <c r="E5" s="11">
        <v>49.05</v>
      </c>
      <c r="F5" s="10" t="s">
        <v>28</v>
      </c>
      <c r="G5" s="30">
        <v>209.49</v>
      </c>
      <c r="H5" s="12">
        <v>208.75899999999999</v>
      </c>
      <c r="I5" s="12">
        <f t="shared" si="0"/>
        <v>209.12450000000001</v>
      </c>
      <c r="J5" s="47"/>
      <c r="K5" s="41">
        <v>144.005</v>
      </c>
      <c r="L5" s="47"/>
      <c r="M5" s="46"/>
      <c r="N5" s="46"/>
      <c r="O5" s="30">
        <v>211.25200000000001</v>
      </c>
      <c r="P5" s="12">
        <v>210.887</v>
      </c>
      <c r="Q5" s="12">
        <f t="shared" si="1"/>
        <v>211.06950000000001</v>
      </c>
      <c r="R5" s="47"/>
      <c r="S5" s="41">
        <v>141.333</v>
      </c>
      <c r="T5" s="47"/>
      <c r="U5" s="46"/>
      <c r="V5" s="46"/>
      <c r="W5" s="10"/>
    </row>
    <row r="6" spans="1:23" x14ac:dyDescent="0.25">
      <c r="A6" s="21" t="s">
        <v>12</v>
      </c>
      <c r="B6" s="4" t="s">
        <v>47</v>
      </c>
      <c r="C6" s="5">
        <v>1</v>
      </c>
      <c r="D6" s="4">
        <v>1</v>
      </c>
      <c r="E6" s="5">
        <v>49.05</v>
      </c>
      <c r="F6" s="4" t="s">
        <v>28</v>
      </c>
      <c r="G6" s="31">
        <v>154.25800000000001</v>
      </c>
      <c r="H6" s="6">
        <v>154.988</v>
      </c>
      <c r="I6" s="6">
        <f>(G6+H6)/2</f>
        <v>154.62299999999999</v>
      </c>
      <c r="J6" s="47">
        <f t="shared" ref="J6" si="2">AVERAGE(I6:I8)</f>
        <v>154.58250000000001</v>
      </c>
      <c r="K6" s="37">
        <v>264.75799999999998</v>
      </c>
      <c r="L6" s="47">
        <f t="shared" ref="L6" si="3">AVERAGE(K6:K8)</f>
        <v>264.89833333333331</v>
      </c>
      <c r="M6" s="46">
        <f t="shared" ref="M6" si="4">+N6*L6/100</f>
        <v>6.803108965253398</v>
      </c>
      <c r="N6" s="46">
        <f t="shared" ref="N6" si="5">2*SQRT(((1+240/J6)/2)^2+(1.32*STDEV(I6:I8)/SQRT(3))^2)</f>
        <v>2.5681962131081981</v>
      </c>
      <c r="O6" s="31">
        <v>155.476</v>
      </c>
      <c r="P6" s="6">
        <v>155.559</v>
      </c>
      <c r="Q6" s="6">
        <f>(O6+P6)/2</f>
        <v>155.51749999999998</v>
      </c>
      <c r="R6" s="47">
        <f t="shared" ref="R6" si="6">AVERAGE(Q6:Q8)</f>
        <v>155.18566666666666</v>
      </c>
      <c r="S6" s="37">
        <v>261.70100000000002</v>
      </c>
      <c r="T6" s="47">
        <f t="shared" ref="T6" si="7">AVERAGE(S6:S8)</f>
        <v>262.83199999999999</v>
      </c>
      <c r="U6" s="46">
        <f t="shared" ref="U6" si="8">+V6*T6/100</f>
        <v>6.8718729189084033</v>
      </c>
      <c r="V6" s="46">
        <f t="shared" ref="V6" si="9">2*SQRT(((1+240/R6)/2)^2+(1.32*STDEV(Q6:Q8)/SQRT(3))^2)</f>
        <v>2.6145495673694237</v>
      </c>
      <c r="W6" s="4" t="s">
        <v>73</v>
      </c>
    </row>
    <row r="7" spans="1:23" x14ac:dyDescent="0.25">
      <c r="A7" s="23" t="s">
        <v>12</v>
      </c>
      <c r="B7" s="7" t="s">
        <v>47</v>
      </c>
      <c r="C7" s="8">
        <v>2</v>
      </c>
      <c r="D7" s="7">
        <v>1</v>
      </c>
      <c r="E7" s="8">
        <v>49.05</v>
      </c>
      <c r="F7" s="7" t="s">
        <v>28</v>
      </c>
      <c r="G7" s="43">
        <v>154.501</v>
      </c>
      <c r="H7" s="9">
        <v>154.988</v>
      </c>
      <c r="I7" s="9">
        <f t="shared" si="0"/>
        <v>154.74450000000002</v>
      </c>
      <c r="J7" s="47"/>
      <c r="K7" s="36">
        <v>264.33999999999997</v>
      </c>
      <c r="L7" s="47"/>
      <c r="M7" s="46"/>
      <c r="N7" s="46"/>
      <c r="O7" s="43">
        <v>155.08600000000001</v>
      </c>
      <c r="P7" s="9">
        <v>155.477</v>
      </c>
      <c r="Q7" s="9">
        <f t="shared" ref="Q7:Q8" si="10">(O7+P7)/2</f>
        <v>155.28149999999999</v>
      </c>
      <c r="R7" s="47"/>
      <c r="S7" s="36">
        <v>262.50200000000001</v>
      </c>
      <c r="T7" s="47"/>
      <c r="U7" s="46"/>
      <c r="V7" s="46"/>
      <c r="W7" s="7"/>
    </row>
    <row r="8" spans="1:23" x14ac:dyDescent="0.25">
      <c r="A8" s="25" t="s">
        <v>12</v>
      </c>
      <c r="B8" s="10" t="s">
        <v>47</v>
      </c>
      <c r="C8" s="11">
        <v>3</v>
      </c>
      <c r="D8" s="10">
        <v>1</v>
      </c>
      <c r="E8" s="11">
        <v>49.05</v>
      </c>
      <c r="F8" s="10" t="s">
        <v>28</v>
      </c>
      <c r="G8" s="30">
        <v>154.745</v>
      </c>
      <c r="H8" s="12">
        <v>154.01499999999999</v>
      </c>
      <c r="I8" s="12">
        <f t="shared" si="0"/>
        <v>154.38</v>
      </c>
      <c r="J8" s="47"/>
      <c r="K8" s="41">
        <v>265.59699999999998</v>
      </c>
      <c r="L8" s="47"/>
      <c r="M8" s="46"/>
      <c r="N8" s="46"/>
      <c r="O8" s="30">
        <v>155.11799999999999</v>
      </c>
      <c r="P8" s="12">
        <v>154.398</v>
      </c>
      <c r="Q8" s="12">
        <f t="shared" si="10"/>
        <v>154.75799999999998</v>
      </c>
      <c r="R8" s="47"/>
      <c r="S8" s="41">
        <v>264.29300000000001</v>
      </c>
      <c r="T8" s="47"/>
      <c r="U8" s="46"/>
      <c r="V8" s="46"/>
      <c r="W8" s="10"/>
    </row>
    <row r="9" spans="1:23" x14ac:dyDescent="0.25">
      <c r="A9" s="21" t="s">
        <v>29</v>
      </c>
      <c r="B9" s="4" t="s">
        <v>47</v>
      </c>
      <c r="C9" s="5">
        <v>1</v>
      </c>
      <c r="D9" s="4">
        <v>1</v>
      </c>
      <c r="E9" s="5">
        <v>49.05</v>
      </c>
      <c r="F9" s="4" t="s">
        <v>28</v>
      </c>
      <c r="G9" s="31">
        <v>115.815</v>
      </c>
      <c r="H9" s="6">
        <v>116.059</v>
      </c>
      <c r="I9" s="6">
        <f>(G9+H9)/2</f>
        <v>115.937</v>
      </c>
      <c r="J9" s="47">
        <f t="shared" ref="J9" si="11">AVERAGE(I9:I11)</f>
        <v>116.99216666666666</v>
      </c>
      <c r="K9" s="37">
        <v>472.178</v>
      </c>
      <c r="L9" s="47">
        <f t="shared" ref="L9" si="12">AVERAGE(K9:K11)</f>
        <v>463.92099999999999</v>
      </c>
      <c r="M9" s="46">
        <f t="shared" ref="M9" si="13">+N9*L9/100</f>
        <v>19.677498808151952</v>
      </c>
      <c r="N9" s="46">
        <f t="shared" ref="N9" si="14">2*SQRT(((1+240/J9)/2)^2+(1.32*STDEV(I9:I11)/SQRT(3))^2)</f>
        <v>4.2415624229452762</v>
      </c>
      <c r="O9" s="31">
        <v>117.761</v>
      </c>
      <c r="P9" s="6">
        <v>117.033</v>
      </c>
      <c r="Q9" s="6">
        <f>(O9+P9)/2</f>
        <v>117.39699999999999</v>
      </c>
      <c r="R9" s="47">
        <f t="shared" ref="R9" si="15">AVERAGE(Q9:Q11)</f>
        <v>117.92666666666666</v>
      </c>
      <c r="S9" s="37">
        <v>460.46699999999998</v>
      </c>
      <c r="T9" s="47">
        <f t="shared" ref="T9" si="16">AVERAGE(S9:S11)</f>
        <v>456.55733333333336</v>
      </c>
      <c r="U9" s="46">
        <f t="shared" ref="U9" si="17">+V9*T9/100</f>
        <v>19.074983076318219</v>
      </c>
      <c r="V9" s="46">
        <f t="shared" ref="V9" si="18">2*SQRT(((1+240/R9)/2)^2+(1.32*STDEV(Q9:Q11)/SQRT(3))^2)</f>
        <v>4.1780038745739603</v>
      </c>
      <c r="W9" s="4" t="s">
        <v>74</v>
      </c>
    </row>
    <row r="10" spans="1:23" x14ac:dyDescent="0.25">
      <c r="A10" s="23" t="s">
        <v>29</v>
      </c>
      <c r="B10" s="7" t="s">
        <v>47</v>
      </c>
      <c r="C10" s="8">
        <v>2</v>
      </c>
      <c r="D10" s="7">
        <v>1</v>
      </c>
      <c r="E10" s="8">
        <v>49.05</v>
      </c>
      <c r="F10" s="7" t="s">
        <v>28</v>
      </c>
      <c r="G10" s="43">
        <v>119.224</v>
      </c>
      <c r="H10" s="9">
        <v>119.22199999999999</v>
      </c>
      <c r="I10" s="9">
        <f t="shared" si="0"/>
        <v>119.223</v>
      </c>
      <c r="J10" s="47"/>
      <c r="K10" s="36">
        <v>446.42099999999999</v>
      </c>
      <c r="L10" s="47"/>
      <c r="M10" s="46"/>
      <c r="N10" s="46"/>
      <c r="O10" s="43">
        <v>120.44199999999999</v>
      </c>
      <c r="P10" s="9">
        <v>119.595</v>
      </c>
      <c r="Q10" s="9">
        <f t="shared" ref="Q10:Q11" si="19">(O10+P10)/2</f>
        <v>120.01849999999999</v>
      </c>
      <c r="R10" s="47"/>
      <c r="S10" s="36">
        <v>440.49799999999999</v>
      </c>
      <c r="T10" s="47"/>
      <c r="U10" s="46"/>
      <c r="V10" s="46"/>
      <c r="W10" s="7"/>
    </row>
    <row r="11" spans="1:23" x14ac:dyDescent="0.25">
      <c r="A11" s="25" t="s">
        <v>29</v>
      </c>
      <c r="B11" s="10" t="s">
        <v>47</v>
      </c>
      <c r="C11" s="11">
        <v>3</v>
      </c>
      <c r="D11" s="10">
        <v>1</v>
      </c>
      <c r="E11" s="11">
        <v>49.05</v>
      </c>
      <c r="F11" s="10" t="s">
        <v>28</v>
      </c>
      <c r="G11" s="30">
        <v>115.086</v>
      </c>
      <c r="H11" s="12">
        <v>116.547</v>
      </c>
      <c r="I11" s="12">
        <f t="shared" si="0"/>
        <v>115.81649999999999</v>
      </c>
      <c r="J11" s="47"/>
      <c r="K11" s="41">
        <v>473.16399999999999</v>
      </c>
      <c r="L11" s="47"/>
      <c r="M11" s="46"/>
      <c r="N11" s="46"/>
      <c r="O11" s="30">
        <v>115.69799999999999</v>
      </c>
      <c r="P11" s="12">
        <v>117.03100000000001</v>
      </c>
      <c r="Q11" s="12">
        <f t="shared" si="19"/>
        <v>116.36449999999999</v>
      </c>
      <c r="R11" s="47"/>
      <c r="S11" s="41">
        <v>468.70699999999999</v>
      </c>
      <c r="T11" s="47"/>
      <c r="U11" s="46"/>
      <c r="V11" s="46"/>
      <c r="W11" s="10"/>
    </row>
    <row r="12" spans="1:23" x14ac:dyDescent="0.25">
      <c r="A12" s="32" t="s">
        <v>10</v>
      </c>
      <c r="B12" s="3" t="s">
        <v>48</v>
      </c>
      <c r="C12" s="13">
        <v>1</v>
      </c>
      <c r="D12" s="3">
        <v>1</v>
      </c>
      <c r="E12" s="13">
        <v>294.3</v>
      </c>
      <c r="F12" s="3" t="s">
        <v>28</v>
      </c>
      <c r="G12" s="35">
        <v>466.565</v>
      </c>
      <c r="H12" s="14">
        <v>463.58600000000001</v>
      </c>
      <c r="I12" s="14">
        <f>(G12+H12)/2</f>
        <v>465.07550000000003</v>
      </c>
      <c r="J12" s="49">
        <f>AVERAGE(I12:I14)</f>
        <v>464.74</v>
      </c>
      <c r="K12" s="38">
        <v>166.51900000000001</v>
      </c>
      <c r="L12" s="49">
        <f>AVERAGE(K12:K14)</f>
        <v>166.77533333333335</v>
      </c>
      <c r="M12" s="45">
        <f t="shared" ref="M12" si="20">+N12*L12/100</f>
        <v>2.7302658352933666</v>
      </c>
      <c r="N12" s="45">
        <f t="shared" ref="N12" si="21">2*SQRT(((1+240/J12)/2)^2+(1.32*STDEV(I12:I14)/SQRT(3))^2)</f>
        <v>1.6370921171156605</v>
      </c>
      <c r="O12" s="35">
        <v>470.31299999999999</v>
      </c>
      <c r="P12" s="14">
        <v>465.06700000000001</v>
      </c>
      <c r="Q12" s="14">
        <f>(O12+P12)/2</f>
        <v>467.69</v>
      </c>
      <c r="R12" s="49">
        <f>AVERAGE(Q12:Q14)</f>
        <v>466.62000000000006</v>
      </c>
      <c r="S12" s="38">
        <v>164.542</v>
      </c>
      <c r="T12" s="49">
        <f>AVERAGE(S12:S14)</f>
        <v>165.34866666666665</v>
      </c>
      <c r="U12" s="45">
        <f t="shared" ref="U12" si="22">+V12*T12/100</f>
        <v>3.4345943386569098</v>
      </c>
      <c r="V12" s="45">
        <f t="shared" ref="V12" si="23">2*SQRT(((1+240/R12)/2)^2+(1.32*STDEV(Q12:Q14)/SQRT(3))^2)</f>
        <v>2.0771829660899859</v>
      </c>
      <c r="W12" s="3"/>
    </row>
    <row r="13" spans="1:23" x14ac:dyDescent="0.25">
      <c r="A13" s="33" t="s">
        <v>10</v>
      </c>
      <c r="B13" s="15" t="s">
        <v>48</v>
      </c>
      <c r="C13">
        <v>2</v>
      </c>
      <c r="D13" s="15">
        <v>1</v>
      </c>
      <c r="E13">
        <v>294.3</v>
      </c>
      <c r="F13" s="15" t="s">
        <v>28</v>
      </c>
      <c r="G13" s="42">
        <v>464.745</v>
      </c>
      <c r="H13" s="16">
        <v>464.96300000000002</v>
      </c>
      <c r="I13" s="16">
        <f t="shared" ref="I13:I14" si="24">(G13+H13)/2</f>
        <v>464.85400000000004</v>
      </c>
      <c r="J13" s="49"/>
      <c r="K13" s="39">
        <v>166.68799999999999</v>
      </c>
      <c r="L13" s="49"/>
      <c r="M13" s="45"/>
      <c r="N13" s="45"/>
      <c r="O13" s="42">
        <v>465.69099999999997</v>
      </c>
      <c r="P13" s="16">
        <v>466.69299999999998</v>
      </c>
      <c r="Q13" s="16">
        <f t="shared" ref="Q13:Q14" si="25">(O13+P13)/2</f>
        <v>466.19200000000001</v>
      </c>
      <c r="R13" s="49"/>
      <c r="S13" s="39">
        <v>165.67099999999999</v>
      </c>
      <c r="T13" s="49"/>
      <c r="U13" s="45"/>
      <c r="V13" s="45"/>
      <c r="W13" s="15"/>
    </row>
    <row r="14" spans="1:23" x14ac:dyDescent="0.25">
      <c r="A14" s="34" t="s">
        <v>10</v>
      </c>
      <c r="B14" s="17" t="s">
        <v>48</v>
      </c>
      <c r="C14" s="18">
        <v>3</v>
      </c>
      <c r="D14" s="17">
        <v>1</v>
      </c>
      <c r="E14" s="18">
        <v>294.3</v>
      </c>
      <c r="F14" s="17" t="s">
        <v>28</v>
      </c>
      <c r="G14" s="44">
        <v>463.435</v>
      </c>
      <c r="H14" s="19">
        <v>465.14600000000002</v>
      </c>
      <c r="I14" s="19">
        <f t="shared" si="24"/>
        <v>464.29050000000001</v>
      </c>
      <c r="J14" s="49"/>
      <c r="K14" s="40">
        <v>167.119</v>
      </c>
      <c r="L14" s="49"/>
      <c r="M14" s="45"/>
      <c r="N14" s="45"/>
      <c r="O14" s="44">
        <v>465.56299999999999</v>
      </c>
      <c r="P14" s="19">
        <v>466.39299999999997</v>
      </c>
      <c r="Q14" s="19">
        <f t="shared" si="25"/>
        <v>465.97799999999995</v>
      </c>
      <c r="R14" s="49"/>
      <c r="S14" s="40">
        <v>165.833</v>
      </c>
      <c r="T14" s="49"/>
      <c r="U14" s="45"/>
      <c r="V14" s="45"/>
      <c r="W14" s="17"/>
    </row>
    <row r="15" spans="1:23" x14ac:dyDescent="0.25">
      <c r="A15" s="32" t="s">
        <v>12</v>
      </c>
      <c r="B15" s="3" t="s">
        <v>48</v>
      </c>
      <c r="C15" s="13">
        <v>1</v>
      </c>
      <c r="D15" s="3">
        <v>1</v>
      </c>
      <c r="E15" s="13">
        <v>294.3</v>
      </c>
      <c r="F15" s="3" t="s">
        <v>28</v>
      </c>
      <c r="G15" s="35">
        <v>351.55599999999998</v>
      </c>
      <c r="H15" s="14">
        <v>352.29700000000003</v>
      </c>
      <c r="I15" s="14">
        <f>(G15+H15)/2</f>
        <v>351.92650000000003</v>
      </c>
      <c r="J15" s="49">
        <f t="shared" ref="J15" si="26">AVERAGE(I15:I17)</f>
        <v>350.66450000000003</v>
      </c>
      <c r="K15" s="38">
        <v>298.63799999999998</v>
      </c>
      <c r="L15" s="49">
        <f t="shared" ref="L15" si="27">AVERAGE(K15:K17)</f>
        <v>300.87166666666667</v>
      </c>
      <c r="M15" s="45">
        <f t="shared" ref="M15" si="28">+N15*L15/100</f>
        <v>7.3021997235090135</v>
      </c>
      <c r="N15" s="45">
        <f t="shared" ref="N15" si="29">2*SQRT(((1+240/J15)/2)^2+(1.32*STDEV(I15:I17)/SQRT(3))^2)</f>
        <v>2.4270147483176148</v>
      </c>
      <c r="O15" s="35">
        <v>352.04899999999998</v>
      </c>
      <c r="P15" s="14">
        <v>353.00400000000002</v>
      </c>
      <c r="Q15" s="14">
        <f>(O15+P15)/2</f>
        <v>352.5265</v>
      </c>
      <c r="R15" s="49">
        <f t="shared" ref="R15" si="30">AVERAGE(Q15:Q17)</f>
        <v>351.11016666666666</v>
      </c>
      <c r="S15" s="38">
        <v>297.58699999999999</v>
      </c>
      <c r="T15" s="49">
        <f t="shared" ref="T15" si="31">AVERAGE(S15:S17)</f>
        <v>300.084</v>
      </c>
      <c r="U15" s="45">
        <f t="shared" ref="U15" si="32">+V15*T15/100</f>
        <v>7.5793895964402793</v>
      </c>
      <c r="V15" s="45">
        <f t="shared" ref="V15" si="33">2*SQRT(((1+240/R15)/2)^2+(1.32*STDEV(Q15:Q17)/SQRT(3))^2)</f>
        <v>2.5257559871370279</v>
      </c>
      <c r="W15" s="3"/>
    </row>
    <row r="16" spans="1:23" x14ac:dyDescent="0.25">
      <c r="A16" s="33" t="s">
        <v>12</v>
      </c>
      <c r="B16" s="15" t="s">
        <v>48</v>
      </c>
      <c r="C16">
        <v>2</v>
      </c>
      <c r="D16" s="15">
        <v>1</v>
      </c>
      <c r="E16">
        <v>294.3</v>
      </c>
      <c r="F16" s="33" t="s">
        <v>28</v>
      </c>
      <c r="G16" s="42">
        <v>350.291</v>
      </c>
      <c r="H16" s="16">
        <v>350.46800000000002</v>
      </c>
      <c r="I16" s="16">
        <f t="shared" ref="I16:I17" si="34">(G16+H16)/2</f>
        <v>350.37950000000001</v>
      </c>
      <c r="J16" s="49"/>
      <c r="K16" s="39">
        <v>301.37099999999998</v>
      </c>
      <c r="L16" s="49"/>
      <c r="M16" s="45"/>
      <c r="N16" s="45"/>
      <c r="O16" s="42">
        <v>350.61900000000003</v>
      </c>
      <c r="P16" s="16">
        <v>350.47800000000001</v>
      </c>
      <c r="Q16" s="16">
        <f t="shared" ref="Q16:Q17" si="35">(O16+P16)/2</f>
        <v>350.54849999999999</v>
      </c>
      <c r="R16" s="49"/>
      <c r="S16" s="39">
        <v>301.072</v>
      </c>
      <c r="T16" s="49"/>
      <c r="U16" s="45"/>
      <c r="V16" s="45"/>
      <c r="W16" s="15"/>
    </row>
    <row r="17" spans="1:23" x14ac:dyDescent="0.25">
      <c r="A17" s="34" t="s">
        <v>12</v>
      </c>
      <c r="B17" s="17" t="s">
        <v>48</v>
      </c>
      <c r="C17" s="18">
        <v>3</v>
      </c>
      <c r="D17" s="17">
        <v>1</v>
      </c>
      <c r="E17" s="18">
        <v>294.3</v>
      </c>
      <c r="F17" s="17" t="s">
        <v>28</v>
      </c>
      <c r="G17" s="44">
        <v>349.47699999999998</v>
      </c>
      <c r="H17" s="19">
        <v>349.89800000000002</v>
      </c>
      <c r="I17" s="19">
        <f t="shared" si="34"/>
        <v>349.6875</v>
      </c>
      <c r="J17" s="49"/>
      <c r="K17" s="40">
        <v>302.60599999999999</v>
      </c>
      <c r="L17" s="49"/>
      <c r="M17" s="45"/>
      <c r="N17" s="45"/>
      <c r="O17" s="44">
        <v>349.88400000000001</v>
      </c>
      <c r="P17" s="19">
        <v>350.62700000000001</v>
      </c>
      <c r="Q17" s="19">
        <f t="shared" si="35"/>
        <v>350.25549999999998</v>
      </c>
      <c r="R17" s="49"/>
      <c r="S17" s="40">
        <v>301.59300000000002</v>
      </c>
      <c r="T17" s="49"/>
      <c r="U17" s="45"/>
      <c r="V17" s="45"/>
      <c r="W17" s="17"/>
    </row>
    <row r="18" spans="1:23" x14ac:dyDescent="0.25">
      <c r="A18" s="32" t="s">
        <v>29</v>
      </c>
      <c r="B18" s="3" t="s">
        <v>48</v>
      </c>
      <c r="C18" s="13">
        <v>1</v>
      </c>
      <c r="D18" s="3">
        <v>1</v>
      </c>
      <c r="E18" s="13">
        <v>294.3</v>
      </c>
      <c r="F18" s="3" t="s">
        <v>28</v>
      </c>
      <c r="G18" s="35">
        <v>254.52199999999999</v>
      </c>
      <c r="H18" s="14">
        <v>254.952</v>
      </c>
      <c r="I18" s="14">
        <f>(G18+H18)/2</f>
        <v>254.73699999999999</v>
      </c>
      <c r="J18" s="49">
        <f t="shared" ref="J18" si="36">AVERAGE(I18:I20)</f>
        <v>254.94149999999999</v>
      </c>
      <c r="K18" s="38">
        <v>579.10900000000004</v>
      </c>
      <c r="L18" s="49">
        <f t="shared" ref="L18" si="37">AVERAGE(K18:K20)</f>
        <v>578.16700000000003</v>
      </c>
      <c r="M18" s="45">
        <f t="shared" ref="M18" si="38">+N18*L18/100</f>
        <v>11.642295291256746</v>
      </c>
      <c r="N18" s="45">
        <f t="shared" ref="N18" si="39">2*SQRT(((1+240/J18)/2)^2+(1.32*STDEV(I18:I20)/SQRT(3))^2)</f>
        <v>2.0136561393605561</v>
      </c>
      <c r="O18" s="35">
        <v>257.94099999999997</v>
      </c>
      <c r="P18" s="14">
        <v>255.113</v>
      </c>
      <c r="Q18" s="14">
        <f>(O18+P18)/2</f>
        <v>256.52699999999999</v>
      </c>
      <c r="R18" s="49">
        <f t="shared" ref="R18" si="40">AVERAGE(Q18:Q20)</f>
        <v>255.40533333333335</v>
      </c>
      <c r="S18" s="38">
        <v>570.91800000000001</v>
      </c>
      <c r="T18" s="49">
        <f t="shared" ref="T18" si="41">AVERAGE(S18:S20)</f>
        <v>576.04899999999998</v>
      </c>
      <c r="U18" s="45">
        <f t="shared" ref="U18" si="42">+V18*T18/100</f>
        <v>14.058565511297529</v>
      </c>
      <c r="V18" s="45">
        <f t="shared" ref="V18" si="43">2*SQRT(((1+240/R18)/2)^2+(1.32*STDEV(Q18:Q20)/SQRT(3))^2)</f>
        <v>2.4405155657413742</v>
      </c>
      <c r="W18" s="3"/>
    </row>
    <row r="19" spans="1:23" x14ac:dyDescent="0.25">
      <c r="A19" s="33" t="s">
        <v>29</v>
      </c>
      <c r="B19" s="15" t="s">
        <v>48</v>
      </c>
      <c r="C19">
        <v>2</v>
      </c>
      <c r="D19" s="15">
        <v>1</v>
      </c>
      <c r="E19">
        <v>294.3</v>
      </c>
      <c r="F19" s="15" t="s">
        <v>28</v>
      </c>
      <c r="G19" s="42">
        <v>254.446</v>
      </c>
      <c r="H19" s="16">
        <v>255.036</v>
      </c>
      <c r="I19" s="16">
        <f t="shared" ref="I19:I20" si="44">(G19+H19)/2</f>
        <v>254.74099999999999</v>
      </c>
      <c r="J19" s="49"/>
      <c r="K19" s="39">
        <v>579.09100000000001</v>
      </c>
      <c r="L19" s="49"/>
      <c r="M19" s="45"/>
      <c r="N19" s="45"/>
      <c r="O19" s="42">
        <v>254.61600000000001</v>
      </c>
      <c r="P19" s="16">
        <v>255.125</v>
      </c>
      <c r="Q19" s="16">
        <f t="shared" ref="Q19:Q20" si="45">(O19+P19)/2</f>
        <v>254.87049999999999</v>
      </c>
      <c r="R19" s="49"/>
      <c r="S19" s="39">
        <v>578.49400000000003</v>
      </c>
      <c r="T19" s="49"/>
      <c r="U19" s="45"/>
      <c r="V19" s="45"/>
      <c r="W19" s="15"/>
    </row>
    <row r="20" spans="1:23" x14ac:dyDescent="0.25">
      <c r="A20" s="34" t="s">
        <v>29</v>
      </c>
      <c r="B20" s="17" t="s">
        <v>48</v>
      </c>
      <c r="C20" s="18">
        <v>3</v>
      </c>
      <c r="D20" s="17">
        <v>1</v>
      </c>
      <c r="E20" s="18">
        <v>294.3</v>
      </c>
      <c r="F20" s="17" t="s">
        <v>28</v>
      </c>
      <c r="G20" s="44">
        <v>255.452</v>
      </c>
      <c r="H20" s="19">
        <v>255.24100000000001</v>
      </c>
      <c r="I20" s="19">
        <f t="shared" si="44"/>
        <v>255.34649999999999</v>
      </c>
      <c r="J20" s="49"/>
      <c r="K20" s="40">
        <v>576.30100000000004</v>
      </c>
      <c r="L20" s="49"/>
      <c r="M20" s="45"/>
      <c r="N20" s="45"/>
      <c r="O20" s="44">
        <v>254.809</v>
      </c>
      <c r="P20" s="19">
        <v>254.828</v>
      </c>
      <c r="Q20" s="19">
        <f t="shared" si="45"/>
        <v>254.8185</v>
      </c>
      <c r="R20" s="49"/>
      <c r="S20" s="40">
        <v>578.73500000000001</v>
      </c>
      <c r="T20" s="49"/>
      <c r="U20" s="45"/>
      <c r="V20" s="45"/>
      <c r="W20" s="17"/>
    </row>
    <row r="21" spans="1:23" x14ac:dyDescent="0.25">
      <c r="A21" s="21" t="s">
        <v>30</v>
      </c>
      <c r="B21" s="4" t="s">
        <v>49</v>
      </c>
      <c r="C21" s="5">
        <v>1</v>
      </c>
      <c r="D21" s="4">
        <v>10</v>
      </c>
      <c r="E21" s="5">
        <v>4905</v>
      </c>
      <c r="F21" s="4" t="s">
        <v>28</v>
      </c>
      <c r="G21" s="31">
        <v>2201.248</v>
      </c>
      <c r="H21" s="6">
        <v>2201.576</v>
      </c>
      <c r="I21" s="6">
        <f>(G21+H21)/2</f>
        <v>2201.4120000000003</v>
      </c>
      <c r="J21" s="47">
        <f>AVERAGE(I21:I23)</f>
        <v>2203.1336666666671</v>
      </c>
      <c r="K21" s="37">
        <v>129.79400000000001</v>
      </c>
      <c r="L21" s="47">
        <f>AVERAGE(K21:K23)</f>
        <v>129.58966666666666</v>
      </c>
      <c r="M21" s="46">
        <f t="shared" ref="M21" si="46">+N21*L21/100</f>
        <v>8.9941073557011073</v>
      </c>
      <c r="N21" s="46">
        <f t="shared" ref="N21" si="47">2*SQRT(((1+240/J21)/2)^2+(1.32*STDEV(I21:I23)/SQRT(3))^2)</f>
        <v>6.9404510305871412</v>
      </c>
      <c r="O21" s="31">
        <v>2231.69</v>
      </c>
      <c r="P21" s="6">
        <v>2244.6729999999998</v>
      </c>
      <c r="Q21" s="6">
        <f>(O21+P21)/2</f>
        <v>2238.1814999999997</v>
      </c>
      <c r="R21" s="47">
        <f>AVERAGE(Q21:Q23)</f>
        <v>2234.308</v>
      </c>
      <c r="S21" s="37">
        <v>125.511</v>
      </c>
      <c r="T21" s="47">
        <f>AVERAGE(S21:S23)</f>
        <v>125.95400000000001</v>
      </c>
      <c r="U21" s="46">
        <f t="shared" ref="U21" si="48">+V21*T21/100</f>
        <v>10.721942985951401</v>
      </c>
      <c r="V21" s="46">
        <f t="shared" ref="V21" si="49">2*SQRT(((1+240/R21)/2)^2+(1.32*STDEV(Q21:Q23)/SQRT(3))^2)</f>
        <v>8.5125863298913877</v>
      </c>
      <c r="W21" s="4"/>
    </row>
    <row r="22" spans="1:23" x14ac:dyDescent="0.25">
      <c r="A22" s="23" t="s">
        <v>30</v>
      </c>
      <c r="B22" s="7" t="s">
        <v>49</v>
      </c>
      <c r="C22" s="8">
        <v>2</v>
      </c>
      <c r="D22" s="7">
        <v>10</v>
      </c>
      <c r="E22" s="8">
        <v>4905</v>
      </c>
      <c r="F22" s="7" t="s">
        <v>28</v>
      </c>
      <c r="G22" s="43">
        <v>2208.3150000000001</v>
      </c>
      <c r="H22" s="9">
        <v>2208.1550000000002</v>
      </c>
      <c r="I22" s="9">
        <f t="shared" ref="I22:I23" si="50">(G22+H22)/2</f>
        <v>2208.2350000000001</v>
      </c>
      <c r="J22" s="47"/>
      <c r="K22" s="36">
        <v>128.983</v>
      </c>
      <c r="L22" s="47"/>
      <c r="M22" s="46"/>
      <c r="N22" s="46"/>
      <c r="O22" s="43">
        <v>2239.174</v>
      </c>
      <c r="P22" s="9">
        <v>2216.7570000000001</v>
      </c>
      <c r="Q22" s="9">
        <f t="shared" ref="Q22:Q23" si="51">(O22+P22)/2</f>
        <v>2227.9655000000002</v>
      </c>
      <c r="R22" s="47"/>
      <c r="S22" s="36">
        <v>126.68</v>
      </c>
      <c r="T22" s="47"/>
      <c r="U22" s="46"/>
      <c r="V22" s="46"/>
      <c r="W22" s="7"/>
    </row>
    <row r="23" spans="1:23" x14ac:dyDescent="0.25">
      <c r="A23" s="25" t="s">
        <v>30</v>
      </c>
      <c r="B23" s="10" t="s">
        <v>49</v>
      </c>
      <c r="C23" s="11">
        <v>3</v>
      </c>
      <c r="D23" s="10">
        <v>10</v>
      </c>
      <c r="E23" s="11">
        <v>4905</v>
      </c>
      <c r="F23" s="10" t="s">
        <v>28</v>
      </c>
      <c r="G23" s="30">
        <v>2199.922</v>
      </c>
      <c r="H23" s="12">
        <v>2199.5859999999998</v>
      </c>
      <c r="I23" s="12">
        <f t="shared" si="50"/>
        <v>2199.7539999999999</v>
      </c>
      <c r="J23" s="47"/>
      <c r="K23" s="41">
        <v>129.99199999999999</v>
      </c>
      <c r="L23" s="47"/>
      <c r="M23" s="46"/>
      <c r="N23" s="46"/>
      <c r="O23" s="30">
        <v>2231.0569999999998</v>
      </c>
      <c r="P23" s="12">
        <v>2242.4969999999998</v>
      </c>
      <c r="Q23" s="12">
        <f t="shared" si="51"/>
        <v>2236.777</v>
      </c>
      <c r="R23" s="47"/>
      <c r="S23" s="41">
        <v>125.67100000000001</v>
      </c>
      <c r="T23" s="47"/>
      <c r="U23" s="46"/>
      <c r="V23" s="46"/>
      <c r="W23" s="10"/>
    </row>
    <row r="24" spans="1:23" x14ac:dyDescent="0.25">
      <c r="A24" s="21" t="s">
        <v>31</v>
      </c>
      <c r="B24" s="4" t="s">
        <v>49</v>
      </c>
      <c r="C24" s="5">
        <v>1</v>
      </c>
      <c r="D24" s="4">
        <v>10</v>
      </c>
      <c r="E24" s="5">
        <v>4905</v>
      </c>
      <c r="F24" s="4" t="s">
        <v>28</v>
      </c>
      <c r="G24" s="31">
        <v>1687.008</v>
      </c>
      <c r="H24" s="6">
        <v>1687.0409999999999</v>
      </c>
      <c r="I24" s="6">
        <f>(G24+H24)/2</f>
        <v>1687.0245</v>
      </c>
      <c r="J24" s="47">
        <f t="shared" ref="J24" si="52">AVERAGE(I24:I26)</f>
        <v>1686.2058333333334</v>
      </c>
      <c r="K24" s="37">
        <v>222.15199999999999</v>
      </c>
      <c r="L24" s="47">
        <f t="shared" ref="L24" si="53">AVERAGE(K24:K26)</f>
        <v>222.36933333333332</v>
      </c>
      <c r="M24" s="46">
        <f t="shared" ref="M24" si="54">+N24*L24/100</f>
        <v>4.7156938984771157</v>
      </c>
      <c r="N24" s="46">
        <f t="shared" ref="N24" si="55">2*SQRT(((1+240/J24)/2)^2+(1.32*STDEV(I24:I26)/SQRT(3))^2)</f>
        <v>2.1206583784681561</v>
      </c>
      <c r="O24" s="31">
        <v>1710.9939999999999</v>
      </c>
      <c r="P24" s="6">
        <v>1714.6310000000001</v>
      </c>
      <c r="Q24" s="6">
        <f>(O24+P24)/2</f>
        <v>1712.8125</v>
      </c>
      <c r="R24" s="47">
        <f t="shared" ref="R24" si="56">AVERAGE(Q24:Q26)</f>
        <v>1710.5186666666668</v>
      </c>
      <c r="S24" s="37">
        <v>215.464</v>
      </c>
      <c r="T24" s="47">
        <f t="shared" ref="T24" si="57">AVERAGE(S24:S26)</f>
        <v>216.06366666666668</v>
      </c>
      <c r="U24" s="46">
        <f t="shared" ref="U24" si="58">+V24*T24/100</f>
        <v>34.90031392758344</v>
      </c>
      <c r="V24" s="46">
        <f t="shared" ref="V24" si="59">2*SQRT(((1+240/R24)/2)^2+(1.32*STDEV(Q24:Q26)/SQRT(3))^2)</f>
        <v>16.15279165905579</v>
      </c>
      <c r="W24" s="4"/>
    </row>
    <row r="25" spans="1:23" x14ac:dyDescent="0.25">
      <c r="A25" s="23" t="s">
        <v>31</v>
      </c>
      <c r="B25" s="7" t="s">
        <v>49</v>
      </c>
      <c r="C25" s="8">
        <v>2</v>
      </c>
      <c r="D25" s="7">
        <v>10</v>
      </c>
      <c r="E25" s="8">
        <v>4905</v>
      </c>
      <c r="F25" s="7" t="s">
        <v>28</v>
      </c>
      <c r="G25" s="43">
        <v>1684.4929999999999</v>
      </c>
      <c r="H25" s="9">
        <v>1685.2329999999999</v>
      </c>
      <c r="I25" s="9">
        <f t="shared" ref="I25:I26" si="60">(G25+H25)/2</f>
        <v>1684.8629999999998</v>
      </c>
      <c r="J25" s="47"/>
      <c r="K25" s="36">
        <v>222.726</v>
      </c>
      <c r="L25" s="47"/>
      <c r="M25" s="46"/>
      <c r="N25" s="46"/>
      <c r="O25" s="43">
        <v>1677.7550000000001</v>
      </c>
      <c r="P25" s="9">
        <v>1720.223</v>
      </c>
      <c r="Q25" s="9">
        <f t="shared" ref="Q25:Q26" si="61">(O25+P25)/2</f>
        <v>1698.989</v>
      </c>
      <c r="R25" s="47"/>
      <c r="S25" s="36">
        <v>219.011</v>
      </c>
      <c r="T25" s="47"/>
      <c r="U25" s="46"/>
      <c r="V25" s="46"/>
      <c r="W25" s="7"/>
    </row>
    <row r="26" spans="1:23" x14ac:dyDescent="0.25">
      <c r="A26" s="25" t="s">
        <v>31</v>
      </c>
      <c r="B26" s="10" t="s">
        <v>49</v>
      </c>
      <c r="C26" s="11">
        <v>3</v>
      </c>
      <c r="D26" s="10">
        <v>10</v>
      </c>
      <c r="E26" s="11">
        <v>4905</v>
      </c>
      <c r="F26" s="10" t="s">
        <v>28</v>
      </c>
      <c r="G26" s="30">
        <v>1687.056</v>
      </c>
      <c r="H26" s="12">
        <v>1686.404</v>
      </c>
      <c r="I26" s="12">
        <f t="shared" si="60"/>
        <v>1686.73</v>
      </c>
      <c r="J26" s="47"/>
      <c r="K26" s="41">
        <v>222.23</v>
      </c>
      <c r="L26" s="47"/>
      <c r="M26" s="46"/>
      <c r="N26" s="46"/>
      <c r="O26" s="30">
        <v>1729.9449999999999</v>
      </c>
      <c r="P26" s="12">
        <v>1709.5640000000001</v>
      </c>
      <c r="Q26" s="12">
        <f t="shared" si="61"/>
        <v>1719.7545</v>
      </c>
      <c r="R26" s="47"/>
      <c r="S26" s="41">
        <v>213.71600000000001</v>
      </c>
      <c r="T26" s="47"/>
      <c r="U26" s="46"/>
      <c r="V26" s="46"/>
      <c r="W26" s="10"/>
    </row>
    <row r="27" spans="1:23" x14ac:dyDescent="0.25">
      <c r="A27" s="21" t="s">
        <v>32</v>
      </c>
      <c r="B27" s="4" t="s">
        <v>49</v>
      </c>
      <c r="C27" s="5">
        <v>1</v>
      </c>
      <c r="D27" s="4">
        <v>10</v>
      </c>
      <c r="E27" s="5">
        <v>4905</v>
      </c>
      <c r="F27" s="4" t="s">
        <v>33</v>
      </c>
      <c r="G27" s="31">
        <v>1206.3030000000001</v>
      </c>
      <c r="H27" s="6">
        <v>1204.2809999999999</v>
      </c>
      <c r="I27" s="6">
        <f>(G27+H27)/2</f>
        <v>1205.2919999999999</v>
      </c>
      <c r="J27" s="47">
        <f t="shared" ref="J27" si="62">AVERAGE(I27:I29)</f>
        <v>1204.3738333333333</v>
      </c>
      <c r="K27" s="37">
        <v>436.76299999999998</v>
      </c>
      <c r="L27" s="47">
        <f t="shared" ref="L27" si="63">AVERAGE(K27:K29)</f>
        <v>437.43266666666665</v>
      </c>
      <c r="M27" s="46">
        <f t="shared" ref="M27" si="64">+N27*L27/100</f>
        <v>10.303720231250193</v>
      </c>
      <c r="N27" s="46">
        <f t="shared" ref="N27" si="65">2*SQRT(((1+240/J27)/2)^2+(1.32*STDEV(I27:I29)/SQRT(3))^2)</f>
        <v>2.3554985753045865</v>
      </c>
      <c r="O27" s="31">
        <v>1265.915</v>
      </c>
      <c r="P27" s="6">
        <v>1195.979</v>
      </c>
      <c r="Q27" s="6">
        <f>(O27+P27)/2</f>
        <v>1230.9470000000001</v>
      </c>
      <c r="R27" s="47">
        <f t="shared" ref="R27" si="66">AVERAGE(Q27:Q29)</f>
        <v>1239.9103333333335</v>
      </c>
      <c r="S27" s="37">
        <v>418.68099999999998</v>
      </c>
      <c r="T27" s="47">
        <f t="shared" ref="T27" si="67">AVERAGE(S27:S29)</f>
        <v>412.87000000000006</v>
      </c>
      <c r="U27" s="46">
        <f t="shared" ref="U27" si="68">+V27*T27/100</f>
        <v>134.72765505324631</v>
      </c>
      <c r="V27" s="46">
        <f t="shared" ref="V27" si="69">2*SQRT(((1+240/R27)/2)^2+(1.32*STDEV(Q27:Q29)/SQRT(3))^2)</f>
        <v>32.631979812833649</v>
      </c>
      <c r="W27" s="4"/>
    </row>
    <row r="28" spans="1:23" x14ac:dyDescent="0.25">
      <c r="A28" s="23" t="s">
        <v>32</v>
      </c>
      <c r="B28" s="7" t="s">
        <v>49</v>
      </c>
      <c r="C28" s="8">
        <v>2</v>
      </c>
      <c r="D28" s="7">
        <v>10</v>
      </c>
      <c r="E28" s="8">
        <v>4905</v>
      </c>
      <c r="F28" s="7" t="s">
        <v>33</v>
      </c>
      <c r="G28" s="43">
        <v>1203.107</v>
      </c>
      <c r="H28" s="9">
        <v>1202.5899999999999</v>
      </c>
      <c r="I28" s="9">
        <f t="shared" ref="I28:I29" si="70">(G28+H28)/2</f>
        <v>1202.8485000000001</v>
      </c>
      <c r="J28" s="47"/>
      <c r="K28" s="36">
        <v>438.54599999999999</v>
      </c>
      <c r="L28" s="47"/>
      <c r="M28" s="46"/>
      <c r="N28" s="46"/>
      <c r="O28" s="43">
        <v>1251.3140000000001</v>
      </c>
      <c r="P28" s="9">
        <v>1277.3440000000001</v>
      </c>
      <c r="Q28" s="9">
        <f t="shared" ref="Q28:Q29" si="71">(O28+P28)/2</f>
        <v>1264.3290000000002</v>
      </c>
      <c r="R28" s="47"/>
      <c r="S28" s="36">
        <v>396.78</v>
      </c>
      <c r="T28" s="47"/>
      <c r="U28" s="46"/>
      <c r="V28" s="46"/>
      <c r="W28" s="7"/>
    </row>
    <row r="29" spans="1:23" x14ac:dyDescent="0.25">
      <c r="A29" s="25" t="s">
        <v>32</v>
      </c>
      <c r="B29" s="10" t="s">
        <v>49</v>
      </c>
      <c r="C29" s="11">
        <v>3</v>
      </c>
      <c r="D29" s="10">
        <v>10</v>
      </c>
      <c r="E29" s="11">
        <v>4905</v>
      </c>
      <c r="F29" s="10" t="s">
        <v>33</v>
      </c>
      <c r="G29" s="30">
        <v>1205.3969999999999</v>
      </c>
      <c r="H29" s="12">
        <v>1204.5650000000001</v>
      </c>
      <c r="I29" s="12">
        <f t="shared" si="70"/>
        <v>1204.981</v>
      </c>
      <c r="J29" s="47"/>
      <c r="K29" s="41">
        <v>436.98899999999998</v>
      </c>
      <c r="L29" s="47"/>
      <c r="M29" s="46"/>
      <c r="N29" s="46"/>
      <c r="O29" s="30">
        <v>1237.4169999999999</v>
      </c>
      <c r="P29" s="12">
        <v>1211.4929999999999</v>
      </c>
      <c r="Q29" s="12">
        <f t="shared" si="71"/>
        <v>1224.4549999999999</v>
      </c>
      <c r="R29" s="47"/>
      <c r="S29" s="41">
        <v>423.149</v>
      </c>
      <c r="T29" s="47"/>
      <c r="U29" s="46"/>
      <c r="V29" s="46"/>
      <c r="W29" s="10"/>
    </row>
    <row r="30" spans="1:23" x14ac:dyDescent="0.25">
      <c r="A30" s="32" t="s">
        <v>30</v>
      </c>
      <c r="B30" s="3" t="s">
        <v>50</v>
      </c>
      <c r="C30" s="13">
        <v>1</v>
      </c>
      <c r="D30" s="3">
        <v>10</v>
      </c>
      <c r="E30" s="13">
        <v>29430</v>
      </c>
      <c r="F30" s="3" t="s">
        <v>28</v>
      </c>
      <c r="G30" s="35">
        <v>4832.5280000000002</v>
      </c>
      <c r="H30" s="14">
        <v>4831.8710000000001</v>
      </c>
      <c r="I30" s="14">
        <f>(G30+H30)/2</f>
        <v>4832.1995000000006</v>
      </c>
      <c r="J30" s="49">
        <f>AVERAGE(I30:I32)</f>
        <v>4840.7873333333337</v>
      </c>
      <c r="K30" s="38">
        <v>153.44900000000001</v>
      </c>
      <c r="L30" s="49">
        <f>AVERAGE(K30:K32)</f>
        <v>152.86766666666665</v>
      </c>
      <c r="M30" s="45">
        <f t="shared" ref="M30" si="72">+N30*L30/100</f>
        <v>21.822478834226018</v>
      </c>
      <c r="N30" s="45">
        <f t="shared" ref="N30" si="73">2*SQRT(((1+240/J30)/2)^2+(1.32*STDEV(I30:I32)/SQRT(3))^2)</f>
        <v>14.275405198543853</v>
      </c>
      <c r="O30" s="35">
        <v>4861.8509999999997</v>
      </c>
      <c r="P30" s="14">
        <v>4842.2370000000001</v>
      </c>
      <c r="Q30" s="14">
        <f>(O30+P30)/2</f>
        <v>4852.0439999999999</v>
      </c>
      <c r="R30" s="49">
        <f>AVERAGE(Q30:Q32)</f>
        <v>4861.0909999999994</v>
      </c>
      <c r="S30" s="38">
        <v>152.108</v>
      </c>
      <c r="T30" s="49">
        <f>AVERAGE(S30:S32)</f>
        <v>151.50533333333334</v>
      </c>
      <c r="U30" s="45">
        <f t="shared" ref="U30" si="74">+V30*T30/100</f>
        <v>38.833799460857954</v>
      </c>
      <c r="V30" s="45">
        <f t="shared" ref="V30" si="75">2*SQRT(((1+240/R30)/2)^2+(1.32*STDEV(Q30:Q32)/SQRT(3))^2)</f>
        <v>25.631968595731252</v>
      </c>
      <c r="W30" s="3"/>
    </row>
    <row r="31" spans="1:23" x14ac:dyDescent="0.25">
      <c r="A31" s="33" t="s">
        <v>30</v>
      </c>
      <c r="B31" s="15" t="s">
        <v>50</v>
      </c>
      <c r="C31">
        <v>2</v>
      </c>
      <c r="D31" s="15">
        <v>10</v>
      </c>
      <c r="E31">
        <v>29430</v>
      </c>
      <c r="F31" s="15" t="s">
        <v>28</v>
      </c>
      <c r="G31" s="42">
        <v>4847.9669999999996</v>
      </c>
      <c r="H31" s="16">
        <v>4853.4970000000003</v>
      </c>
      <c r="I31" s="16">
        <f t="shared" ref="I31:I32" si="76">(G31+H31)/2</f>
        <v>4850.732</v>
      </c>
      <c r="J31" s="49"/>
      <c r="K31" s="39">
        <v>152.196</v>
      </c>
      <c r="L31" s="49"/>
      <c r="M31" s="45"/>
      <c r="N31" s="45"/>
      <c r="O31" s="42">
        <v>4868.7309999999998</v>
      </c>
      <c r="P31" s="16">
        <v>4892.2259999999997</v>
      </c>
      <c r="Q31" s="16">
        <f t="shared" ref="Q31:Q32" si="77">(O31+P31)/2</f>
        <v>4880.4784999999993</v>
      </c>
      <c r="R31" s="49"/>
      <c r="S31" s="39">
        <v>150.21299999999999</v>
      </c>
      <c r="T31" s="49"/>
      <c r="U31" s="45"/>
      <c r="V31" s="45"/>
      <c r="W31" s="15"/>
    </row>
    <row r="32" spans="1:23" x14ac:dyDescent="0.25">
      <c r="A32" s="34" t="s">
        <v>30</v>
      </c>
      <c r="B32" s="17" t="s">
        <v>50</v>
      </c>
      <c r="C32" s="18">
        <v>3</v>
      </c>
      <c r="D32" s="17">
        <v>10</v>
      </c>
      <c r="E32" s="18">
        <v>29430</v>
      </c>
      <c r="F32" s="17" t="s">
        <v>28</v>
      </c>
      <c r="G32" s="44">
        <v>4834.6030000000001</v>
      </c>
      <c r="H32" s="19">
        <v>4844.2579999999998</v>
      </c>
      <c r="I32" s="19">
        <f t="shared" si="76"/>
        <v>4839.4305000000004</v>
      </c>
      <c r="J32" s="49"/>
      <c r="K32" s="40">
        <v>152.958</v>
      </c>
      <c r="L32" s="49"/>
      <c r="M32" s="45"/>
      <c r="N32" s="45"/>
      <c r="O32" s="44">
        <v>4845.5739999999996</v>
      </c>
      <c r="P32" s="19">
        <v>4855.9269999999997</v>
      </c>
      <c r="Q32" s="19">
        <f t="shared" si="77"/>
        <v>4850.7505000000001</v>
      </c>
      <c r="R32" s="49"/>
      <c r="S32" s="40">
        <v>152.19499999999999</v>
      </c>
      <c r="T32" s="49"/>
      <c r="U32" s="45"/>
      <c r="V32" s="45"/>
      <c r="W32" s="17"/>
    </row>
    <row r="33" spans="1:23" x14ac:dyDescent="0.25">
      <c r="A33" s="32" t="s">
        <v>31</v>
      </c>
      <c r="B33" s="3" t="s">
        <v>50</v>
      </c>
      <c r="C33" s="13">
        <v>1</v>
      </c>
      <c r="D33" s="3">
        <v>10</v>
      </c>
      <c r="E33" s="13">
        <v>29430</v>
      </c>
      <c r="F33" s="3" t="s">
        <v>28</v>
      </c>
      <c r="G33" s="35">
        <v>3807.15</v>
      </c>
      <c r="H33" s="14">
        <v>3805.587</v>
      </c>
      <c r="I33" s="14">
        <f>(G33+H33)/2</f>
        <v>3806.3685</v>
      </c>
      <c r="J33" s="49">
        <f t="shared" ref="J33" si="78">AVERAGE(I33:I35)</f>
        <v>3804.9168333333332</v>
      </c>
      <c r="K33" s="38">
        <v>253.79599999999999</v>
      </c>
      <c r="L33" s="49">
        <f t="shared" ref="L33" si="79">AVERAGE(K33:K35)</f>
        <v>253.99800000000002</v>
      </c>
      <c r="M33" s="45">
        <f t="shared" ref="M33" si="80">+N33*L33/100</f>
        <v>11.926236783711307</v>
      </c>
      <c r="N33" s="45">
        <f t="shared" ref="N33" si="81">2*SQRT(((1+240/J33)/2)^2+(1.32*STDEV(I33:I35)/SQRT(3))^2)</f>
        <v>4.6954057841838539</v>
      </c>
      <c r="O33" s="35">
        <v>3809.201</v>
      </c>
      <c r="P33" s="14">
        <v>3832.0749999999998</v>
      </c>
      <c r="Q33" s="14">
        <f>(O33+P33)/2</f>
        <v>3820.6379999999999</v>
      </c>
      <c r="R33" s="49">
        <f t="shared" ref="R33" si="82">AVERAGE(Q33:Q35)</f>
        <v>3823.7331666666664</v>
      </c>
      <c r="S33" s="38">
        <v>251.827</v>
      </c>
      <c r="T33" s="49">
        <f t="shared" ref="T33" si="83">AVERAGE(S33:S35)</f>
        <v>251.41100000000003</v>
      </c>
      <c r="U33" s="45">
        <f t="shared" ref="U33" si="84">+V33*T33/100</f>
        <v>60.015539848915544</v>
      </c>
      <c r="V33" s="45">
        <f t="shared" ref="V33" si="85">2*SQRT(((1+240/R33)/2)^2+(1.32*STDEV(Q33:Q35)/SQRT(3))^2)</f>
        <v>23.871485276664718</v>
      </c>
      <c r="W33" s="3"/>
    </row>
    <row r="34" spans="1:23" x14ac:dyDescent="0.25">
      <c r="A34" s="33" t="s">
        <v>31</v>
      </c>
      <c r="B34" s="15" t="s">
        <v>50</v>
      </c>
      <c r="C34">
        <v>2</v>
      </c>
      <c r="D34" s="15">
        <v>10</v>
      </c>
      <c r="E34">
        <v>29430</v>
      </c>
      <c r="F34" s="33" t="s">
        <v>28</v>
      </c>
      <c r="G34" s="42">
        <v>3800.6239999999998</v>
      </c>
      <c r="H34" s="16">
        <v>3802.3090000000002</v>
      </c>
      <c r="I34" s="16">
        <f t="shared" ref="I34:I35" si="86">(G34+H34)/2</f>
        <v>3801.4665</v>
      </c>
      <c r="J34" s="49"/>
      <c r="K34" s="39">
        <v>254.47800000000001</v>
      </c>
      <c r="L34" s="49"/>
      <c r="M34" s="45"/>
      <c r="N34" s="45"/>
      <c r="O34" s="42">
        <v>3838.127</v>
      </c>
      <c r="P34" s="16">
        <v>3843.2640000000001</v>
      </c>
      <c r="Q34" s="16">
        <f t="shared" ref="Q34:Q35" si="87">(O34+P34)/2</f>
        <v>3840.6954999999998</v>
      </c>
      <c r="R34" s="49"/>
      <c r="S34" s="39">
        <v>249.095</v>
      </c>
      <c r="T34" s="49"/>
      <c r="U34" s="45"/>
      <c r="V34" s="45"/>
      <c r="W34" s="15"/>
    </row>
    <row r="35" spans="1:23" x14ac:dyDescent="0.25">
      <c r="A35" s="34" t="s">
        <v>31</v>
      </c>
      <c r="B35" s="17" t="s">
        <v>50</v>
      </c>
      <c r="C35" s="18">
        <v>3</v>
      </c>
      <c r="D35" s="17">
        <v>10</v>
      </c>
      <c r="E35" s="18">
        <v>29430</v>
      </c>
      <c r="F35" s="17" t="s">
        <v>28</v>
      </c>
      <c r="G35" s="44">
        <v>3807.1</v>
      </c>
      <c r="H35" s="19">
        <v>3806.7310000000002</v>
      </c>
      <c r="I35" s="19">
        <f t="shared" si="86"/>
        <v>3806.9155000000001</v>
      </c>
      <c r="J35" s="49"/>
      <c r="K35" s="40">
        <v>253.72</v>
      </c>
      <c r="L35" s="49"/>
      <c r="M35" s="45"/>
      <c r="N35" s="45"/>
      <c r="O35" s="44">
        <v>3809.9270000000001</v>
      </c>
      <c r="P35" s="19">
        <v>3809.8049999999998</v>
      </c>
      <c r="Q35" s="19">
        <f t="shared" si="87"/>
        <v>3809.866</v>
      </c>
      <c r="R35" s="49"/>
      <c r="S35" s="40">
        <v>253.31100000000001</v>
      </c>
      <c r="T35" s="49"/>
      <c r="U35" s="45"/>
      <c r="V35" s="45"/>
      <c r="W35" s="17"/>
    </row>
    <row r="36" spans="1:23" x14ac:dyDescent="0.25">
      <c r="A36" s="32" t="s">
        <v>32</v>
      </c>
      <c r="B36" s="3" t="s">
        <v>50</v>
      </c>
      <c r="C36" s="13">
        <v>1</v>
      </c>
      <c r="D36" s="3">
        <v>10</v>
      </c>
      <c r="E36" s="13">
        <v>29430</v>
      </c>
      <c r="F36" s="3" t="s">
        <v>28</v>
      </c>
      <c r="G36" s="35">
        <v>2655.3240000000001</v>
      </c>
      <c r="H36" s="14">
        <v>2657.826</v>
      </c>
      <c r="I36" s="14">
        <f>(G36+H36)/2</f>
        <v>2656.5749999999998</v>
      </c>
      <c r="J36" s="49">
        <f t="shared" ref="J36" si="88">AVERAGE(I36:I38)</f>
        <v>2649.1663333333331</v>
      </c>
      <c r="K36" s="38">
        <v>531.67999999999995</v>
      </c>
      <c r="L36" s="49">
        <f t="shared" ref="L36" si="89">AVERAGE(K36:K38)</f>
        <v>534.71966666666663</v>
      </c>
      <c r="M36" s="45">
        <f t="shared" ref="M36" si="90">+N36*L36/100</f>
        <v>52.634039572449204</v>
      </c>
      <c r="N36" s="45">
        <f t="shared" ref="N36" si="91">2*SQRT(((1+240/J36)/2)^2+(1.32*STDEV(I36:I38)/SQRT(3))^2)</f>
        <v>9.8432960022882785</v>
      </c>
      <c r="O36" s="35">
        <v>2657.6660000000002</v>
      </c>
      <c r="P36" s="14">
        <v>2668.3339999999998</v>
      </c>
      <c r="Q36" s="14">
        <f>(O36+P36)/2</f>
        <v>2663</v>
      </c>
      <c r="R36" s="49">
        <f t="shared" ref="R36" si="92">AVERAGE(Q36:Q38)</f>
        <v>2655.991833333333</v>
      </c>
      <c r="S36" s="38">
        <v>529.06899999999996</v>
      </c>
      <c r="T36" s="49">
        <f t="shared" ref="T36" si="93">AVERAGE(S36:S38)</f>
        <v>531.92599999999993</v>
      </c>
      <c r="U36" s="45">
        <f t="shared" ref="U36" si="94">+V36*T36/100</f>
        <v>61.544582079523551</v>
      </c>
      <c r="V36" s="45">
        <f t="shared" ref="V36" si="95">2*SQRT(((1+240/R36)/2)^2+(1.32*STDEV(Q36:Q38)/SQRT(3))^2)</f>
        <v>11.570139846430436</v>
      </c>
      <c r="W36" s="3"/>
    </row>
    <row r="37" spans="1:23" x14ac:dyDescent="0.25">
      <c r="A37" s="33" t="s">
        <v>32</v>
      </c>
      <c r="B37" s="15" t="s">
        <v>50</v>
      </c>
      <c r="C37">
        <v>2</v>
      </c>
      <c r="D37" s="15">
        <v>10</v>
      </c>
      <c r="E37">
        <v>29430</v>
      </c>
      <c r="F37" s="15" t="s">
        <v>28</v>
      </c>
      <c r="G37" s="42">
        <v>2642.3020000000001</v>
      </c>
      <c r="H37" s="16">
        <v>2648.2910000000002</v>
      </c>
      <c r="I37" s="16">
        <f t="shared" ref="I37:I38" si="96">(G37+H37)/2</f>
        <v>2645.2965000000004</v>
      </c>
      <c r="J37" s="49"/>
      <c r="K37" s="39">
        <v>536.30799999999999</v>
      </c>
      <c r="L37" s="49"/>
      <c r="M37" s="45"/>
      <c r="N37" s="45"/>
      <c r="O37" s="42">
        <v>2663.7750000000001</v>
      </c>
      <c r="P37" s="16">
        <v>2650.2060000000001</v>
      </c>
      <c r="Q37" s="16">
        <f t="shared" ref="Q37:Q38" si="97">(O37+P37)/2</f>
        <v>2656.9904999999999</v>
      </c>
      <c r="R37" s="49"/>
      <c r="S37" s="39">
        <v>531.51</v>
      </c>
      <c r="T37" s="49"/>
      <c r="U37" s="45"/>
      <c r="V37" s="45"/>
      <c r="W37" s="15"/>
    </row>
    <row r="38" spans="1:23" x14ac:dyDescent="0.25">
      <c r="A38" s="34" t="s">
        <v>32</v>
      </c>
      <c r="B38" s="17" t="s">
        <v>50</v>
      </c>
      <c r="C38" s="18">
        <v>3</v>
      </c>
      <c r="D38" s="17">
        <v>10</v>
      </c>
      <c r="E38" s="18">
        <v>29430</v>
      </c>
      <c r="F38" s="17" t="s">
        <v>28</v>
      </c>
      <c r="G38" s="44">
        <v>2642.2719999999999</v>
      </c>
      <c r="H38" s="19">
        <v>2648.9830000000002</v>
      </c>
      <c r="I38" s="19">
        <f t="shared" si="96"/>
        <v>2645.6275000000001</v>
      </c>
      <c r="J38" s="49"/>
      <c r="K38" s="40">
        <v>536.17100000000005</v>
      </c>
      <c r="L38" s="49"/>
      <c r="M38" s="45"/>
      <c r="N38" s="45"/>
      <c r="O38" s="44">
        <v>2643.732</v>
      </c>
      <c r="P38" s="19">
        <v>2652.2379999999998</v>
      </c>
      <c r="Q38" s="19">
        <f t="shared" si="97"/>
        <v>2647.9849999999997</v>
      </c>
      <c r="R38" s="49"/>
      <c r="S38" s="40">
        <v>535.19899999999996</v>
      </c>
      <c r="T38" s="49"/>
      <c r="U38" s="45"/>
      <c r="V38" s="45"/>
      <c r="W38" s="17"/>
    </row>
    <row r="42" spans="1:23" x14ac:dyDescent="0.25">
      <c r="F42" t="s">
        <v>54</v>
      </c>
    </row>
    <row r="43" spans="1:23" x14ac:dyDescent="0.25">
      <c r="C43" t="s">
        <v>60</v>
      </c>
      <c r="F43" t="s">
        <v>61</v>
      </c>
    </row>
    <row r="44" spans="1:23" x14ac:dyDescent="0.25">
      <c r="C44" t="s">
        <v>62</v>
      </c>
      <c r="F44" t="s">
        <v>63</v>
      </c>
    </row>
  </sheetData>
  <mergeCells count="105">
    <mergeCell ref="A1:A2"/>
    <mergeCell ref="B1:B2"/>
    <mergeCell ref="C1:C2"/>
    <mergeCell ref="E1:E2"/>
    <mergeCell ref="F1:F2"/>
    <mergeCell ref="G1:N1"/>
    <mergeCell ref="W1:W2"/>
    <mergeCell ref="O1:V1"/>
    <mergeCell ref="D1:D2"/>
    <mergeCell ref="J3:J5"/>
    <mergeCell ref="L3:L5"/>
    <mergeCell ref="M3:M5"/>
    <mergeCell ref="N3:N5"/>
    <mergeCell ref="R3:R5"/>
    <mergeCell ref="T3:T5"/>
    <mergeCell ref="U3:U5"/>
    <mergeCell ref="V3:V5"/>
    <mergeCell ref="U6:U8"/>
    <mergeCell ref="V6:V8"/>
    <mergeCell ref="J9:J11"/>
    <mergeCell ref="L9:L11"/>
    <mergeCell ref="M9:M11"/>
    <mergeCell ref="N9:N11"/>
    <mergeCell ref="R9:R11"/>
    <mergeCell ref="T9:T11"/>
    <mergeCell ref="U9:U11"/>
    <mergeCell ref="V9:V11"/>
    <mergeCell ref="J6:J8"/>
    <mergeCell ref="L6:L8"/>
    <mergeCell ref="M6:M8"/>
    <mergeCell ref="N6:N8"/>
    <mergeCell ref="R6:R8"/>
    <mergeCell ref="T6:T8"/>
    <mergeCell ref="U12:U14"/>
    <mergeCell ref="V12:V14"/>
    <mergeCell ref="J15:J17"/>
    <mergeCell ref="L15:L17"/>
    <mergeCell ref="M15:M17"/>
    <mergeCell ref="N15:N17"/>
    <mergeCell ref="R15:R17"/>
    <mergeCell ref="T15:T17"/>
    <mergeCell ref="U15:U17"/>
    <mergeCell ref="V15:V17"/>
    <mergeCell ref="J12:J14"/>
    <mergeCell ref="L12:L14"/>
    <mergeCell ref="M12:M14"/>
    <mergeCell ref="N12:N14"/>
    <mergeCell ref="R12:R14"/>
    <mergeCell ref="T12:T14"/>
    <mergeCell ref="U18:U20"/>
    <mergeCell ref="V18:V20"/>
    <mergeCell ref="J21:J23"/>
    <mergeCell ref="L21:L23"/>
    <mergeCell ref="M21:M23"/>
    <mergeCell ref="N21:N23"/>
    <mergeCell ref="R21:R23"/>
    <mergeCell ref="T21:T23"/>
    <mergeCell ref="U21:U23"/>
    <mergeCell ref="V21:V23"/>
    <mergeCell ref="J18:J20"/>
    <mergeCell ref="L18:L20"/>
    <mergeCell ref="M18:M20"/>
    <mergeCell ref="N18:N20"/>
    <mergeCell ref="R18:R20"/>
    <mergeCell ref="T18:T20"/>
    <mergeCell ref="U24:U26"/>
    <mergeCell ref="V24:V26"/>
    <mergeCell ref="J27:J29"/>
    <mergeCell ref="L27:L29"/>
    <mergeCell ref="M27:M29"/>
    <mergeCell ref="N27:N29"/>
    <mergeCell ref="R27:R29"/>
    <mergeCell ref="T27:T29"/>
    <mergeCell ref="U27:U29"/>
    <mergeCell ref="V27:V29"/>
    <mergeCell ref="J24:J26"/>
    <mergeCell ref="L24:L26"/>
    <mergeCell ref="M24:M26"/>
    <mergeCell ref="N24:N26"/>
    <mergeCell ref="R24:R26"/>
    <mergeCell ref="T24:T26"/>
    <mergeCell ref="U36:U38"/>
    <mergeCell ref="V36:V38"/>
    <mergeCell ref="J36:J38"/>
    <mergeCell ref="L36:L38"/>
    <mergeCell ref="M36:M38"/>
    <mergeCell ref="N36:N38"/>
    <mergeCell ref="R36:R38"/>
    <mergeCell ref="T36:T38"/>
    <mergeCell ref="U30:U32"/>
    <mergeCell ref="V30:V32"/>
    <mergeCell ref="J33:J35"/>
    <mergeCell ref="L33:L35"/>
    <mergeCell ref="M33:M35"/>
    <mergeCell ref="N33:N35"/>
    <mergeCell ref="R33:R35"/>
    <mergeCell ref="T33:T35"/>
    <mergeCell ref="U33:U35"/>
    <mergeCell ref="V33:V35"/>
    <mergeCell ref="J30:J32"/>
    <mergeCell ref="L30:L32"/>
    <mergeCell ref="M30:M32"/>
    <mergeCell ref="N30:N32"/>
    <mergeCell ref="R30:R32"/>
    <mergeCell ref="T30:T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A7EE-FB7A-4A53-BBBC-7B5C00F2B8FB}">
  <dimension ref="A1:K35"/>
  <sheetViews>
    <sheetView tabSelected="1" workbookViewId="0">
      <selection activeCell="F36" sqref="F36"/>
    </sheetView>
  </sheetViews>
  <sheetFormatPr defaultRowHeight="15" x14ac:dyDescent="0.25"/>
  <sheetData>
    <row r="1" spans="1:11" ht="15" customHeight="1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9" t="s">
        <v>5</v>
      </c>
      <c r="G1" s="59"/>
      <c r="H1" s="59" t="s">
        <v>20</v>
      </c>
      <c r="I1" s="59"/>
      <c r="J1" s="60" t="s">
        <v>35</v>
      </c>
      <c r="K1" s="60" t="s">
        <v>36</v>
      </c>
    </row>
    <row r="2" spans="1:11" x14ac:dyDescent="0.25">
      <c r="A2" s="51"/>
      <c r="B2" s="51"/>
      <c r="C2" s="51"/>
      <c r="D2" s="51"/>
      <c r="E2" s="51"/>
      <c r="F2" s="2" t="s">
        <v>37</v>
      </c>
      <c r="G2" s="2" t="s">
        <v>9</v>
      </c>
      <c r="H2" s="2" t="s">
        <v>37</v>
      </c>
      <c r="I2" s="2" t="s">
        <v>9</v>
      </c>
      <c r="J2" s="60"/>
      <c r="K2" s="60"/>
    </row>
    <row r="3" spans="1:11" x14ac:dyDescent="0.25">
      <c r="A3" s="21" t="s">
        <v>22</v>
      </c>
      <c r="B3" s="4" t="s">
        <v>51</v>
      </c>
      <c r="C3" s="5">
        <v>1</v>
      </c>
      <c r="D3" s="4">
        <v>0.49049999999999999</v>
      </c>
      <c r="E3" s="5" t="s">
        <v>38</v>
      </c>
      <c r="F3" s="31">
        <v>79.238</v>
      </c>
      <c r="G3" s="27"/>
      <c r="H3" s="5"/>
      <c r="I3" s="5"/>
      <c r="J3" s="4"/>
      <c r="K3" s="4"/>
    </row>
    <row r="4" spans="1:11" x14ac:dyDescent="0.25">
      <c r="A4" s="23" t="s">
        <v>22</v>
      </c>
      <c r="B4" s="7" t="s">
        <v>51</v>
      </c>
      <c r="C4" s="8">
        <v>2</v>
      </c>
      <c r="D4" s="23">
        <v>0.49049999999999999</v>
      </c>
      <c r="E4" s="7" t="s">
        <v>38</v>
      </c>
      <c r="F4" s="9">
        <v>81.540000000000006</v>
      </c>
      <c r="G4" s="28"/>
      <c r="H4" s="8"/>
      <c r="I4" s="8"/>
      <c r="J4" s="7"/>
      <c r="K4" s="7"/>
    </row>
    <row r="5" spans="1:11" x14ac:dyDescent="0.25">
      <c r="A5" s="23" t="s">
        <v>22</v>
      </c>
      <c r="B5" s="7" t="s">
        <v>51</v>
      </c>
      <c r="C5" s="8">
        <v>3</v>
      </c>
      <c r="D5" s="7">
        <v>0.49049999999999999</v>
      </c>
      <c r="E5" s="8" t="s">
        <v>38</v>
      </c>
      <c r="F5" s="43">
        <v>81.599999999999994</v>
      </c>
      <c r="G5" s="28"/>
      <c r="H5" s="8"/>
      <c r="I5" s="8"/>
      <c r="J5" s="7"/>
      <c r="K5" s="7"/>
    </row>
    <row r="6" spans="1:11" x14ac:dyDescent="0.25">
      <c r="A6" s="21" t="s">
        <v>25</v>
      </c>
      <c r="B6" s="4" t="s">
        <v>51</v>
      </c>
      <c r="C6" s="5">
        <v>1</v>
      </c>
      <c r="D6" s="4">
        <v>0.49049999999999999</v>
      </c>
      <c r="E6" s="5" t="s">
        <v>38</v>
      </c>
      <c r="F6" s="31">
        <v>36.686</v>
      </c>
      <c r="G6" s="27"/>
      <c r="H6" s="5"/>
      <c r="I6" s="5"/>
      <c r="J6" s="4"/>
      <c r="K6" s="4"/>
    </row>
    <row r="7" spans="1:11" x14ac:dyDescent="0.25">
      <c r="A7" s="23" t="s">
        <v>25</v>
      </c>
      <c r="B7" s="7" t="s">
        <v>51</v>
      </c>
      <c r="C7" s="8">
        <v>2</v>
      </c>
      <c r="D7" s="7">
        <v>0.49049999999999999</v>
      </c>
      <c r="E7" s="7" t="s">
        <v>38</v>
      </c>
      <c r="F7" s="43">
        <v>36.54</v>
      </c>
      <c r="G7" s="28"/>
      <c r="H7" s="8"/>
      <c r="I7" s="8"/>
      <c r="J7" s="7"/>
      <c r="K7" s="7"/>
    </row>
    <row r="8" spans="1:11" x14ac:dyDescent="0.25">
      <c r="A8" s="25" t="s">
        <v>25</v>
      </c>
      <c r="B8" s="10" t="s">
        <v>51</v>
      </c>
      <c r="C8" s="11">
        <v>3</v>
      </c>
      <c r="D8" s="10">
        <v>0.49049999999999999</v>
      </c>
      <c r="E8" s="8" t="s">
        <v>38</v>
      </c>
      <c r="F8" s="30">
        <v>36.103000000000002</v>
      </c>
      <c r="G8" s="29"/>
      <c r="H8" s="11"/>
      <c r="I8" s="11"/>
      <c r="J8" s="10"/>
      <c r="K8" s="10"/>
    </row>
    <row r="9" spans="1:11" x14ac:dyDescent="0.25">
      <c r="A9" s="21" t="s">
        <v>27</v>
      </c>
      <c r="B9" s="4" t="s">
        <v>51</v>
      </c>
      <c r="C9" s="5">
        <v>1</v>
      </c>
      <c r="D9" s="4">
        <v>0.49049999999999999</v>
      </c>
      <c r="E9" s="5" t="s">
        <v>38</v>
      </c>
      <c r="F9" s="31">
        <v>28.274999999999999</v>
      </c>
      <c r="G9" s="27"/>
      <c r="H9" s="5"/>
      <c r="I9" s="5"/>
      <c r="J9" s="4"/>
      <c r="K9" s="4"/>
    </row>
    <row r="10" spans="1:11" x14ac:dyDescent="0.25">
      <c r="A10" s="23" t="s">
        <v>27</v>
      </c>
      <c r="B10" s="7" t="s">
        <v>51</v>
      </c>
      <c r="C10" s="8">
        <v>2</v>
      </c>
      <c r="D10" s="7">
        <v>0.49049999999999999</v>
      </c>
      <c r="E10" s="7" t="s">
        <v>38</v>
      </c>
      <c r="F10" s="43">
        <v>28.515000000000001</v>
      </c>
      <c r="G10" s="28"/>
      <c r="H10" s="8"/>
      <c r="I10" s="8"/>
      <c r="J10" s="7"/>
      <c r="K10" s="7"/>
    </row>
    <row r="11" spans="1:11" x14ac:dyDescent="0.25">
      <c r="A11" s="25" t="s">
        <v>27</v>
      </c>
      <c r="B11" s="10" t="s">
        <v>51</v>
      </c>
      <c r="C11" s="11">
        <v>3</v>
      </c>
      <c r="D11" s="10">
        <v>0.49049999999999999</v>
      </c>
      <c r="E11" s="10" t="s">
        <v>38</v>
      </c>
      <c r="F11" s="43">
        <v>28.492999999999999</v>
      </c>
      <c r="G11" s="28"/>
      <c r="H11" s="11"/>
      <c r="I11" s="11"/>
      <c r="J11" s="10"/>
      <c r="K11" s="10"/>
    </row>
    <row r="12" spans="1:11" x14ac:dyDescent="0.25">
      <c r="A12" s="32" t="s">
        <v>22</v>
      </c>
      <c r="B12" s="3" t="s">
        <v>52</v>
      </c>
      <c r="C12" s="3">
        <v>1</v>
      </c>
      <c r="D12" s="15">
        <v>9.81</v>
      </c>
      <c r="E12" s="3" t="s">
        <v>33</v>
      </c>
      <c r="F12" s="35">
        <v>372.77</v>
      </c>
      <c r="G12" s="22"/>
      <c r="H12" s="13"/>
      <c r="I12" s="13"/>
      <c r="J12" s="3"/>
      <c r="K12" s="3"/>
    </row>
    <row r="13" spans="1:11" x14ac:dyDescent="0.25">
      <c r="A13" s="33" t="s">
        <v>22</v>
      </c>
      <c r="B13" s="15" t="s">
        <v>52</v>
      </c>
      <c r="C13" s="15">
        <v>2</v>
      </c>
      <c r="D13" s="15">
        <v>9.81</v>
      </c>
      <c r="E13" s="15" t="s">
        <v>33</v>
      </c>
      <c r="F13" s="42">
        <v>372.32100000000003</v>
      </c>
      <c r="G13" s="24"/>
      <c r="J13" s="15"/>
      <c r="K13" s="15"/>
    </row>
    <row r="14" spans="1:11" x14ac:dyDescent="0.25">
      <c r="A14" s="33" t="s">
        <v>22</v>
      </c>
      <c r="B14" s="15" t="s">
        <v>52</v>
      </c>
      <c r="C14" s="15">
        <v>3</v>
      </c>
      <c r="D14" s="15">
        <v>9.81</v>
      </c>
      <c r="E14" s="15" t="s">
        <v>33</v>
      </c>
      <c r="F14" s="44">
        <v>370.76</v>
      </c>
      <c r="G14" s="26"/>
      <c r="J14" s="15"/>
      <c r="K14" s="15"/>
    </row>
    <row r="15" spans="1:11" x14ac:dyDescent="0.25">
      <c r="A15" s="32" t="s">
        <v>22</v>
      </c>
      <c r="B15" s="3" t="s">
        <v>52</v>
      </c>
      <c r="C15" s="3">
        <v>1</v>
      </c>
      <c r="D15" s="3">
        <v>9.81</v>
      </c>
      <c r="E15" s="3" t="s">
        <v>28</v>
      </c>
      <c r="F15" s="35">
        <v>372.62900000000002</v>
      </c>
      <c r="G15" s="22"/>
      <c r="H15" s="13"/>
      <c r="I15" s="13"/>
      <c r="J15" s="3"/>
      <c r="K15" s="3"/>
    </row>
    <row r="16" spans="1:11" x14ac:dyDescent="0.25">
      <c r="A16" s="33" t="s">
        <v>22</v>
      </c>
      <c r="B16" s="15" t="s">
        <v>52</v>
      </c>
      <c r="C16" s="15">
        <v>2</v>
      </c>
      <c r="D16" s="15">
        <v>9.81</v>
      </c>
      <c r="E16" s="15" t="s">
        <v>28</v>
      </c>
      <c r="F16" s="42">
        <v>372.14100000000002</v>
      </c>
      <c r="G16" s="24"/>
      <c r="J16" s="15"/>
      <c r="K16" s="15"/>
    </row>
    <row r="17" spans="1:11" x14ac:dyDescent="0.25">
      <c r="A17" s="33" t="s">
        <v>22</v>
      </c>
      <c r="B17" s="15" t="s">
        <v>52</v>
      </c>
      <c r="C17" s="15">
        <v>3</v>
      </c>
      <c r="D17" s="15">
        <v>9.81</v>
      </c>
      <c r="E17" s="17" t="s">
        <v>28</v>
      </c>
      <c r="F17" s="44">
        <v>370.88799999999998</v>
      </c>
      <c r="G17" s="26"/>
      <c r="H17" s="18"/>
      <c r="I17" s="18"/>
      <c r="J17" s="17"/>
      <c r="K17" s="17"/>
    </row>
    <row r="18" spans="1:11" x14ac:dyDescent="0.25">
      <c r="A18" s="32" t="s">
        <v>25</v>
      </c>
      <c r="B18" s="3" t="s">
        <v>52</v>
      </c>
      <c r="C18" s="3">
        <v>1</v>
      </c>
      <c r="D18" s="3">
        <v>9.81</v>
      </c>
      <c r="E18" s="15" t="s">
        <v>28</v>
      </c>
      <c r="F18" s="35">
        <v>168.648</v>
      </c>
      <c r="G18" s="22"/>
      <c r="H18" s="13"/>
      <c r="I18" s="13"/>
      <c r="J18" s="3"/>
      <c r="K18" s="3"/>
    </row>
    <row r="19" spans="1:11" x14ac:dyDescent="0.25">
      <c r="A19" s="33" t="s">
        <v>25</v>
      </c>
      <c r="B19" s="15" t="s">
        <v>52</v>
      </c>
      <c r="C19" s="15">
        <v>2</v>
      </c>
      <c r="D19" s="15">
        <v>9.81</v>
      </c>
      <c r="E19" s="15" t="s">
        <v>28</v>
      </c>
      <c r="F19" s="42">
        <v>168.24600000000001</v>
      </c>
      <c r="G19" s="24"/>
      <c r="J19" s="15"/>
      <c r="K19" s="15"/>
    </row>
    <row r="20" spans="1:11" x14ac:dyDescent="0.25">
      <c r="A20" s="34" t="s">
        <v>25</v>
      </c>
      <c r="B20" s="17" t="s">
        <v>52</v>
      </c>
      <c r="C20" s="17">
        <v>3</v>
      </c>
      <c r="D20" s="17">
        <v>9.81</v>
      </c>
      <c r="E20" s="17" t="s">
        <v>28</v>
      </c>
      <c r="F20" s="44">
        <v>168.97499999999999</v>
      </c>
      <c r="G20" s="26"/>
      <c r="H20" s="18"/>
      <c r="I20" s="18"/>
      <c r="J20" s="17"/>
      <c r="K20" s="17"/>
    </row>
    <row r="21" spans="1:11" x14ac:dyDescent="0.25">
      <c r="A21" s="32" t="s">
        <v>27</v>
      </c>
      <c r="B21" s="3" t="s">
        <v>52</v>
      </c>
      <c r="C21" s="3">
        <v>1</v>
      </c>
      <c r="D21" s="15">
        <v>9.81</v>
      </c>
      <c r="E21" s="3" t="s">
        <v>28</v>
      </c>
      <c r="F21" s="35">
        <v>130.02699999999999</v>
      </c>
      <c r="G21" s="22"/>
      <c r="H21" s="13"/>
      <c r="I21" s="13"/>
      <c r="J21" s="3"/>
      <c r="K21" s="3"/>
    </row>
    <row r="22" spans="1:11" x14ac:dyDescent="0.25">
      <c r="A22" s="33" t="s">
        <v>27</v>
      </c>
      <c r="B22" s="15" t="s">
        <v>52</v>
      </c>
      <c r="C22" s="15">
        <v>2</v>
      </c>
      <c r="D22" s="15">
        <v>9.81</v>
      </c>
      <c r="E22" s="15" t="s">
        <v>28</v>
      </c>
      <c r="F22" s="42">
        <v>130.27099999999999</v>
      </c>
      <c r="G22" s="24"/>
      <c r="J22" s="15"/>
      <c r="K22" s="15"/>
    </row>
    <row r="23" spans="1:11" x14ac:dyDescent="0.25">
      <c r="A23" s="34" t="s">
        <v>27</v>
      </c>
      <c r="B23" s="17" t="s">
        <v>52</v>
      </c>
      <c r="C23" s="17">
        <v>3</v>
      </c>
      <c r="D23" s="17">
        <v>9.81</v>
      </c>
      <c r="E23" s="17" t="s">
        <v>28</v>
      </c>
      <c r="F23" s="44">
        <v>130.67400000000001</v>
      </c>
      <c r="G23" s="26"/>
      <c r="H23" s="18"/>
      <c r="I23" s="18"/>
      <c r="J23" s="17"/>
      <c r="K23" s="17"/>
    </row>
    <row r="24" spans="1:11" x14ac:dyDescent="0.25">
      <c r="A24" s="21" t="s">
        <v>22</v>
      </c>
      <c r="B24" s="4" t="s">
        <v>53</v>
      </c>
      <c r="C24" s="4">
        <v>1</v>
      </c>
      <c r="D24" s="4">
        <v>19.62</v>
      </c>
      <c r="E24" s="4" t="s">
        <v>33</v>
      </c>
      <c r="F24" s="31">
        <v>530.59100000000001</v>
      </c>
      <c r="G24" s="27"/>
      <c r="H24" s="5"/>
      <c r="I24" s="5"/>
      <c r="J24" s="4"/>
      <c r="K24" s="4"/>
    </row>
    <row r="25" spans="1:11" x14ac:dyDescent="0.25">
      <c r="A25" s="23" t="s">
        <v>22</v>
      </c>
      <c r="B25" s="7" t="s">
        <v>53</v>
      </c>
      <c r="C25" s="7">
        <v>2</v>
      </c>
      <c r="D25" s="7">
        <v>19.62</v>
      </c>
      <c r="E25" s="7" t="s">
        <v>33</v>
      </c>
      <c r="F25" s="43">
        <v>533.92200000000003</v>
      </c>
      <c r="G25" s="28"/>
      <c r="H25" s="8"/>
      <c r="I25" s="8"/>
      <c r="J25" s="7"/>
      <c r="K25" s="7"/>
    </row>
    <row r="26" spans="1:11" x14ac:dyDescent="0.25">
      <c r="A26" s="23" t="s">
        <v>22</v>
      </c>
      <c r="B26" s="7" t="s">
        <v>53</v>
      </c>
      <c r="C26" s="7">
        <v>3</v>
      </c>
      <c r="D26" s="7">
        <v>19.62</v>
      </c>
      <c r="E26" s="7" t="s">
        <v>33</v>
      </c>
      <c r="F26" s="30">
        <v>531.51</v>
      </c>
      <c r="G26" s="29"/>
      <c r="H26" s="8"/>
      <c r="I26" s="8"/>
      <c r="J26" s="7"/>
      <c r="K26" s="7"/>
    </row>
    <row r="27" spans="1:11" x14ac:dyDescent="0.25">
      <c r="A27" s="21" t="s">
        <v>22</v>
      </c>
      <c r="B27" s="4" t="s">
        <v>53</v>
      </c>
      <c r="C27" s="4">
        <v>1</v>
      </c>
      <c r="D27" s="4">
        <v>19.62</v>
      </c>
      <c r="E27" s="4" t="s">
        <v>28</v>
      </c>
      <c r="F27" s="31">
        <v>529.43499999999995</v>
      </c>
      <c r="G27" s="27"/>
      <c r="H27" s="5"/>
      <c r="I27" s="5"/>
      <c r="J27" s="4"/>
      <c r="K27" s="4"/>
    </row>
    <row r="28" spans="1:11" x14ac:dyDescent="0.25">
      <c r="A28" s="23" t="s">
        <v>22</v>
      </c>
      <c r="B28" s="7" t="s">
        <v>53</v>
      </c>
      <c r="C28" s="7">
        <v>2</v>
      </c>
      <c r="D28" s="7">
        <v>19.62</v>
      </c>
      <c r="E28" s="7" t="s">
        <v>28</v>
      </c>
      <c r="F28" s="43">
        <v>532.94500000000005</v>
      </c>
      <c r="G28" s="28"/>
      <c r="H28" s="8"/>
      <c r="I28" s="8"/>
      <c r="J28" s="7"/>
      <c r="K28" s="7"/>
    </row>
    <row r="29" spans="1:11" x14ac:dyDescent="0.25">
      <c r="A29" s="25" t="s">
        <v>22</v>
      </c>
      <c r="B29" s="10" t="s">
        <v>53</v>
      </c>
      <c r="C29" s="10">
        <v>3</v>
      </c>
      <c r="D29" s="10">
        <v>19.62</v>
      </c>
      <c r="E29" s="10" t="s">
        <v>28</v>
      </c>
      <c r="F29" s="30">
        <v>530.49800000000005</v>
      </c>
      <c r="G29" s="29"/>
      <c r="H29" s="11"/>
      <c r="I29" s="11"/>
      <c r="J29" s="10"/>
      <c r="K29" s="10"/>
    </row>
    <row r="30" spans="1:11" x14ac:dyDescent="0.25">
      <c r="A30" s="21" t="s">
        <v>25</v>
      </c>
      <c r="B30" s="4" t="s">
        <v>53</v>
      </c>
      <c r="C30" s="4">
        <v>1</v>
      </c>
      <c r="D30" s="4">
        <v>19.62</v>
      </c>
      <c r="E30" s="4" t="s">
        <v>28</v>
      </c>
      <c r="F30" s="31">
        <v>238.96600000000001</v>
      </c>
      <c r="G30" s="27"/>
      <c r="H30" s="5"/>
      <c r="I30" s="5"/>
      <c r="J30" s="4"/>
      <c r="K30" s="4"/>
    </row>
    <row r="31" spans="1:11" x14ac:dyDescent="0.25">
      <c r="A31" s="23" t="s">
        <v>25</v>
      </c>
      <c r="B31" s="7" t="s">
        <v>53</v>
      </c>
      <c r="C31" s="7">
        <v>2</v>
      </c>
      <c r="D31" s="7">
        <v>19.62</v>
      </c>
      <c r="E31" s="7" t="s">
        <v>28</v>
      </c>
      <c r="F31" s="43">
        <v>238.601</v>
      </c>
      <c r="G31" s="28"/>
      <c r="H31" s="8"/>
      <c r="I31" s="8"/>
      <c r="J31" s="7"/>
      <c r="K31" s="7"/>
    </row>
    <row r="32" spans="1:11" x14ac:dyDescent="0.25">
      <c r="A32" s="25" t="s">
        <v>25</v>
      </c>
      <c r="B32" s="7" t="s">
        <v>53</v>
      </c>
      <c r="C32" s="7">
        <v>3</v>
      </c>
      <c r="D32" s="7">
        <v>19.62</v>
      </c>
      <c r="E32" s="10" t="s">
        <v>28</v>
      </c>
      <c r="F32" s="30">
        <v>238.28299999999999</v>
      </c>
      <c r="G32" s="29"/>
      <c r="H32" s="8"/>
      <c r="I32" s="8"/>
      <c r="J32" s="7"/>
      <c r="K32" s="7"/>
    </row>
    <row r="33" spans="1:11" x14ac:dyDescent="0.25">
      <c r="A33" s="21" t="s">
        <v>27</v>
      </c>
      <c r="B33" s="4" t="s">
        <v>53</v>
      </c>
      <c r="C33" s="4">
        <v>1</v>
      </c>
      <c r="D33" s="4">
        <v>19.62</v>
      </c>
      <c r="E33" s="4" t="s">
        <v>28</v>
      </c>
      <c r="F33" s="31">
        <v>185.244</v>
      </c>
      <c r="G33" s="27"/>
      <c r="H33" s="5"/>
      <c r="I33" s="5"/>
      <c r="J33" s="4"/>
      <c r="K33" s="4"/>
    </row>
    <row r="34" spans="1:11" x14ac:dyDescent="0.25">
      <c r="A34" s="23" t="s">
        <v>27</v>
      </c>
      <c r="B34" s="7" t="s">
        <v>53</v>
      </c>
      <c r="C34" s="7">
        <v>2</v>
      </c>
      <c r="D34" s="7">
        <v>19.62</v>
      </c>
      <c r="E34" s="7" t="s">
        <v>28</v>
      </c>
      <c r="F34" s="43">
        <v>185.15600000000001</v>
      </c>
      <c r="G34" s="28"/>
      <c r="H34" s="8"/>
      <c r="I34" s="8"/>
      <c r="J34" s="7"/>
      <c r="K34" s="7"/>
    </row>
    <row r="35" spans="1:11" x14ac:dyDescent="0.25">
      <c r="A35" s="25" t="s">
        <v>27</v>
      </c>
      <c r="B35" s="10" t="s">
        <v>53</v>
      </c>
      <c r="C35" s="10">
        <v>3</v>
      </c>
      <c r="D35" s="10">
        <v>19.62</v>
      </c>
      <c r="E35" s="10" t="s">
        <v>28</v>
      </c>
      <c r="F35" s="30">
        <v>186.143</v>
      </c>
      <c r="G35" s="29"/>
      <c r="H35" s="11"/>
      <c r="I35" s="11"/>
      <c r="J35" s="10"/>
      <c r="K35" s="10"/>
    </row>
  </sheetData>
  <mergeCells count="9">
    <mergeCell ref="H1:I1"/>
    <mergeCell ref="J1:J2"/>
    <mergeCell ref="K1:K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Vickers</vt:lpstr>
      <vt:lpstr>Mirco-Vickers</vt:lpstr>
      <vt:lpstr>Brinell</vt:lpstr>
      <vt:lpstr>Knoop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2026-08-11T12:03:36Z</dcterms:created>
  <dcterms:modified xsi:type="dcterms:W3CDTF">2026-08-19T20:55:14Z</dcterms:modified>
</cp:coreProperties>
</file>